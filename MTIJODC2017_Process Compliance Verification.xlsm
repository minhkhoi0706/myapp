
<file path=[Content_Types].xml><?xml version="1.0" encoding="utf-8"?>
<Types xmlns="http://schemas.openxmlformats.org/package/2006/content-types">
  <Default Extension="bin" ContentType="application/vnd.openxmlformats-officedocument.spreadsheetml.printerSettings"/>
  <Default Extension="vsd" ContentType="application/vnd.visio"/>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50" yWindow="-480" windowWidth="16485" windowHeight="9315" tabRatio="633" activeTab="8"/>
  </bookViews>
  <sheets>
    <sheet name="Introduction" sheetId="71" r:id="rId1"/>
    <sheet name="Project Summary" sheetId="74" r:id="rId2"/>
    <sheet name="Planning" sheetId="62" r:id="rId3"/>
    <sheet name="Weekly" sheetId="82" r:id="rId4"/>
    <sheet name="Monthly" sheetId="81" r:id="rId5"/>
    <sheet name="Baseline" sheetId="89" r:id="rId6"/>
    <sheet name="Closing" sheetId="90" r:id="rId7"/>
    <sheet name="Daily_Task Mgnt" sheetId="92" r:id="rId8"/>
    <sheet name="Tailoring&amp;Deviation" sheetId="93" r:id="rId9"/>
  </sheets>
  <definedNames>
    <definedName name="_xlnm._FilterDatabase" localSheetId="5" hidden="1">Baseline!$A$12:$Q$40</definedName>
    <definedName name="_xlnm._FilterDatabase" localSheetId="6" hidden="1">Closing!$A$12:$O$72</definedName>
    <definedName name="_xlnm._FilterDatabase" localSheetId="7" hidden="1">'Daily_Task Mgnt'!$A$3:$Y$21</definedName>
    <definedName name="_xlnm._FilterDatabase" localSheetId="4" hidden="1">Monthly!$A$12:$W$46</definedName>
    <definedName name="_xlnm._FilterDatabase" localSheetId="2" hidden="1">Planning!$A$12:$P$109</definedName>
    <definedName name="_xlnm._FilterDatabase" localSheetId="1" hidden="1">'Project Summary'!$A$99:$AW$102</definedName>
    <definedName name="_xlnm._FilterDatabase" localSheetId="3" hidden="1">Weekly!$A$12:$W$86</definedName>
    <definedName name="B_CAT">Baseline!$D$13:$D$41</definedName>
    <definedName name="B_CDATA">INDEX(B_CKDATA,,COLUMN()-COLUMN(B_CKDATA)+1)</definedName>
    <definedName name="B_CKDATA">Baseline!$K$13:$Q$41</definedName>
    <definedName name="B_CKDATE">Baseline!$K$11:$Q$11</definedName>
    <definedName name="B_INTYPE">IF(LEN(PRJ_CAT)=0,1,(UPPER(B_QTYPE)="ALL")+ISNUMBER(FIND(UPPER(LEFT(PRJ_CAT,1)),UPPER(B_QTYPE))))</definedName>
    <definedName name="B_PM">IF(B_SUBCAT=SM_Text,0,1)</definedName>
    <definedName name="B_QTYPE">Baseline!$B$13:$B$41</definedName>
    <definedName name="B_RDATA">INDEX(B_CKDATA,ROW()-ROW(B_CKDATA)+1,)</definedName>
    <definedName name="B_SM">IF(B_SUBCAT=SM_Text,1,0)</definedName>
    <definedName name="B_SUBCAT">Baseline!$E$13:$E$41</definedName>
    <definedName name="C_CAT">Closing!$D$13:$D$60</definedName>
    <definedName name="C_CDATA">INDEX(C_CKDATA,,COLUMN()-COLUMN(C_CKDATA)+1)</definedName>
    <definedName name="C_CKDATA">Closing!$K$13:$O$60</definedName>
    <definedName name="C_CKDATE">Closing!$K$11:$O$11</definedName>
    <definedName name="C_INTYPE">IF(LEN(PRJ_CAT)=0,1,(UPPER(C_QTYPE)="ALL")+ISNUMBER(FIND(UPPER(LEFT(PRJ_CAT,1)),UPPER(C_QTYPE))))</definedName>
    <definedName name="C_PM">IF(C_SUBCAT=SM_Text,0,1)</definedName>
    <definedName name="C_QTYPE">Closing!$B$13:$B$60</definedName>
    <definedName name="C_RDATA">INDEX(C_CKDATA,ROW()-ROW(C_CKDATA)+1,)</definedName>
    <definedName name="C_SM">IF(C_SUBCAT=SM_Text,1,0)</definedName>
    <definedName name="C_SUBCAT">Closing!$E$13:$E$60</definedName>
    <definedName name="D_CKDATA">'Daily_Task Mgnt'!$G$4:$AE$21</definedName>
    <definedName name="D_CKDATE">'Daily_Task Mgnt'!$G$3:$AE$3</definedName>
    <definedName name="D_CKID">'Daily_Task Mgnt'!$A$4:$A$21</definedName>
    <definedName name="M_CAT">Monthly!$D$13:$D$47</definedName>
    <definedName name="M_CDATA">INDEX(M_CKDATA,,COLUMN()-COLUMN(M_CKDATA)+1)</definedName>
    <definedName name="M_CKDATA">Monthly!$K$13:$W$47</definedName>
    <definedName name="M_CKDATE">Monthly!$K$11:$W$11</definedName>
    <definedName name="M_INTYPE">IF(LEN(PRJ_CAT)=0,1,(UPPER(M_QTYPE)="ALL")+ISNUMBER(FIND(UPPER(LEFT(PRJ_CAT,1)),UPPER(M_QTYPE))))</definedName>
    <definedName name="M_PM">IF(M_SUBCAT=SM_Text,0,1)</definedName>
    <definedName name="M_QTYPE">Monthly!$B$13:$B$47</definedName>
    <definedName name="M_RDATA">INDEX(M_CKDATA,ROW()-ROW(M_CKDATA)+1,)</definedName>
    <definedName name="M_SM">IF(M_SUBCAT=SM_Text,1,0)</definedName>
    <definedName name="M_SUBCAT">Monthly!$E$13:$E$47</definedName>
    <definedName name="MacroFilter_ColumnName">'Project Summary'!$F$2</definedName>
    <definedName name="MacroFilter_Condition">'Project Summary'!$F$2:$F$4</definedName>
    <definedName name="MacroFilter_DataArea" localSheetId="5">OFFSET(Baseline!$A$12,0,0,COUNTA(Baseline!$A:$A)-1,COUNTA(Baseline!$12:$12))</definedName>
    <definedName name="MacroFilter_DataArea" localSheetId="6">OFFSET(Closing!$A$12,0,0,COUNTA(Closing!$A:$A)-1,COUNTA(Closing!$12:$12))</definedName>
    <definedName name="MacroFilter_DataArea" localSheetId="7">OFFSET('Daily_Task Mgnt'!$A$3,0,0,COUNTA('Daily_Task Mgnt'!$A:$A)-1,COUNTA('Daily_Task Mgnt'!$3:$3))</definedName>
    <definedName name="MacroFilter_DataArea" localSheetId="4">OFFSET(Monthly!$A$12,0,0,COUNTA(Monthly!$A:$A)-1,COUNTA(Monthly!$12:$12))</definedName>
    <definedName name="MacroFilter_DataArea" localSheetId="2">OFFSET(Planning!$A$12,0,0,COUNTA(Planning!$A:$A)-1,COUNTA(Planning!$12:$12))</definedName>
    <definedName name="MacroFilter_DataArea" localSheetId="3">OFFSET(Weekly!$A$12,0,0,COUNTA(Weekly!$A:$A)-2,COUNTA(Weekly!$12:$12))</definedName>
    <definedName name="P_CAT">Planning!$D$13:$D$110</definedName>
    <definedName name="P_CDATA">INDEX(P_CKDATA,,COLUMN()-COLUMN(P_CKDATA)+1)</definedName>
    <definedName name="P_CKDATA">Planning!$K$13:$P$110</definedName>
    <definedName name="P_CKDATE">Planning!$K$11:$P$11</definedName>
    <definedName name="P_INTYPE">IF(LEN(PRJ_CAT)=0,1,(UPPER(P_QTYPE)="ALL")+ISNUMBER(FIND(UPPER(LEFT(PRJ_CAT,1)),UPPER(P_QTYPE))))</definedName>
    <definedName name="P_PM">IF(P_SUBCAT=SM_Text,0,1)</definedName>
    <definedName name="P_QTYPE">Planning!$B$13:$B$110</definedName>
    <definedName name="P_RDATA">INDEX(P_CKDATA,ROW()-ROW(P_CKDATA)+1,)</definedName>
    <definedName name="P_SM">IF(P_SUBCAT=SM_Text,1,0)</definedName>
    <definedName name="P_SUBCAT">Planning!$E$13:$E$110</definedName>
    <definedName name="PRJ_CAT">IF('Project Summary'!$E$2="Other","Development",IF('Project Summary'!$E$2=0,"",'Project Summary'!$E$2))</definedName>
    <definedName name="PRJ_CAT_FIRST">'Project Summary'!$F$4</definedName>
    <definedName name="PRJ_START">'Project Summary'!$C$3</definedName>
    <definedName name="SM_Text">"Senior Management Involvement"</definedName>
    <definedName name="W_CAT">Weekly!$D$13:$D$87</definedName>
    <definedName name="W_CDATA">INDEX(W_CKDATA,,COLUMN()-COLUMN(W_CKDATA)+1)</definedName>
    <definedName name="W_CKDATA">Weekly!$K$13:$W$87</definedName>
    <definedName name="W_CKDATE">Weekly!$K$11:$W$11</definedName>
    <definedName name="W_INTYPE">IF(LEN(PRJ_CAT)=0,1,(UPPER(W_QTYPE)="ALL")+ISNUMBER(FIND(UPPER(LEFT(PRJ_CAT,1)),UPPER(W_QTYPE))))</definedName>
    <definedName name="W_PM">IF(W_SUBCAT=SM_Text,0,1)</definedName>
    <definedName name="W_QTYPE">Weekly!$B$13:$B$87</definedName>
    <definedName name="W_RDATA">INDEX(W_CKDATA,ROW()-ROW(W_CKDATA)+1,)</definedName>
    <definedName name="W_SM">IF(W_SUBCAT=SM_Text,1,0)</definedName>
    <definedName name="W_SUBCAT">Weekly!$E$13:$E$87</definedName>
  </definedNames>
  <calcPr calcId="145621"/>
</workbook>
</file>

<file path=xl/calcChain.xml><?xml version="1.0" encoding="utf-8"?>
<calcChain xmlns="http://schemas.openxmlformats.org/spreadsheetml/2006/main">
  <c r="Q6" i="81" l="1"/>
  <c r="Q5" i="81"/>
  <c r="Q4" i="81"/>
  <c r="J44" i="82"/>
  <c r="Q6" i="62"/>
  <c r="Q5" i="62"/>
  <c r="Q4" i="62"/>
  <c r="J103" i="62" l="1"/>
  <c r="E4" i="62"/>
  <c r="L81" i="82" l="1"/>
  <c r="V86" i="82"/>
  <c r="U86" i="82"/>
  <c r="T86" i="82"/>
  <c r="S86" i="82"/>
  <c r="R86" i="82"/>
  <c r="Q86" i="82"/>
  <c r="P86" i="82"/>
  <c r="O86" i="82"/>
  <c r="N86" i="82"/>
  <c r="M86" i="82"/>
  <c r="L86" i="82"/>
  <c r="V85" i="82"/>
  <c r="U85" i="82"/>
  <c r="T85" i="82"/>
  <c r="S85" i="82"/>
  <c r="R85" i="82"/>
  <c r="Q85" i="82"/>
  <c r="P85" i="82"/>
  <c r="O85" i="82"/>
  <c r="N85" i="82"/>
  <c r="M85" i="82"/>
  <c r="L85" i="82"/>
  <c r="V84" i="82"/>
  <c r="U84" i="82"/>
  <c r="T84" i="82"/>
  <c r="S84" i="82"/>
  <c r="R84" i="82"/>
  <c r="Q84" i="82"/>
  <c r="P84" i="82"/>
  <c r="O84" i="82"/>
  <c r="N84" i="82"/>
  <c r="M84" i="82"/>
  <c r="L84" i="82"/>
  <c r="V83" i="82"/>
  <c r="U83" i="82"/>
  <c r="T83" i="82"/>
  <c r="S83" i="82"/>
  <c r="R83" i="82"/>
  <c r="Q83" i="82"/>
  <c r="P83" i="82"/>
  <c r="O83" i="82"/>
  <c r="N83" i="82"/>
  <c r="M83" i="82"/>
  <c r="L83" i="82"/>
  <c r="V81" i="82"/>
  <c r="U81" i="82"/>
  <c r="T81" i="82"/>
  <c r="S81" i="82"/>
  <c r="R81" i="82"/>
  <c r="Q81" i="82"/>
  <c r="P81" i="82"/>
  <c r="O81" i="82"/>
  <c r="N81" i="82"/>
  <c r="M81" i="82"/>
  <c r="V80" i="82"/>
  <c r="U80" i="82"/>
  <c r="T80" i="82"/>
  <c r="S80" i="82"/>
  <c r="R80" i="82"/>
  <c r="Q80" i="82"/>
  <c r="P80" i="82"/>
  <c r="O80" i="82"/>
  <c r="N80" i="82"/>
  <c r="M80" i="82"/>
  <c r="L80" i="82"/>
  <c r="V79" i="82"/>
  <c r="U79" i="82"/>
  <c r="T79" i="82"/>
  <c r="S79" i="82"/>
  <c r="R79" i="82"/>
  <c r="Q79" i="82"/>
  <c r="P79" i="82"/>
  <c r="O79" i="82"/>
  <c r="N79" i="82"/>
  <c r="M79" i="82"/>
  <c r="L79" i="82"/>
  <c r="V78" i="82"/>
  <c r="U78" i="82"/>
  <c r="T78" i="82"/>
  <c r="S78" i="82"/>
  <c r="R78" i="82"/>
  <c r="Q78" i="82"/>
  <c r="P78" i="82"/>
  <c r="O78" i="82"/>
  <c r="N78" i="82"/>
  <c r="M78" i="82"/>
  <c r="L78" i="82"/>
  <c r="J62" i="90"/>
  <c r="J63" i="90"/>
  <c r="J64" i="90"/>
  <c r="J65" i="90"/>
  <c r="J66" i="90"/>
  <c r="J67" i="90"/>
  <c r="J68" i="90"/>
  <c r="J69" i="90"/>
  <c r="J70" i="90"/>
  <c r="J71" i="90"/>
  <c r="J72" i="90"/>
  <c r="J61" i="90"/>
  <c r="N30" i="74"/>
  <c r="N31" i="74" s="1"/>
  <c r="O30" i="74"/>
  <c r="O31" i="74" s="1"/>
  <c r="P30" i="74"/>
  <c r="P31" i="74" s="1"/>
  <c r="M10" i="62"/>
  <c r="M9" i="62"/>
  <c r="M8" i="62"/>
  <c r="V76" i="82"/>
  <c r="U76" i="82"/>
  <c r="V75" i="82"/>
  <c r="U75" i="82"/>
  <c r="V74" i="82"/>
  <c r="U74" i="82"/>
  <c r="V73" i="82"/>
  <c r="U73" i="82"/>
  <c r="V72" i="82"/>
  <c r="U72" i="82"/>
  <c r="V71" i="82"/>
  <c r="U71" i="82"/>
  <c r="V70" i="82"/>
  <c r="U70" i="82"/>
  <c r="V10" i="82"/>
  <c r="U10" i="82"/>
  <c r="V9" i="82"/>
  <c r="U9" i="82"/>
  <c r="V8" i="82"/>
  <c r="U8" i="82"/>
  <c r="P10" i="81"/>
  <c r="O10" i="81"/>
  <c r="N10" i="81"/>
  <c r="P9" i="81"/>
  <c r="O9" i="81"/>
  <c r="N9" i="81"/>
  <c r="P8" i="81"/>
  <c r="O8" i="81"/>
  <c r="N8" i="81"/>
  <c r="S10" i="81"/>
  <c r="R10" i="81"/>
  <c r="Q10" i="81"/>
  <c r="S9" i="81"/>
  <c r="R9" i="81"/>
  <c r="Q9" i="81"/>
  <c r="S8" i="81"/>
  <c r="R8" i="81"/>
  <c r="Q8" i="81"/>
  <c r="T10" i="81"/>
  <c r="T9" i="81"/>
  <c r="T8" i="81"/>
  <c r="U10" i="81"/>
  <c r="U9" i="81"/>
  <c r="U8" i="81"/>
  <c r="M10" i="89"/>
  <c r="M9" i="89"/>
  <c r="M8" i="89"/>
  <c r="N10" i="89"/>
  <c r="N9" i="89"/>
  <c r="N8" i="89"/>
  <c r="J14" i="90"/>
  <c r="J15" i="90"/>
  <c r="J16" i="90"/>
  <c r="J17" i="90"/>
  <c r="J18" i="90"/>
  <c r="J19" i="90"/>
  <c r="J20" i="90"/>
  <c r="J21" i="90"/>
  <c r="J22" i="90"/>
  <c r="J23" i="90"/>
  <c r="J24" i="90"/>
  <c r="J25" i="90"/>
  <c r="J26" i="90"/>
  <c r="J27" i="90"/>
  <c r="J28" i="90"/>
  <c r="J29" i="90"/>
  <c r="J30" i="90"/>
  <c r="J31" i="90"/>
  <c r="J32" i="90"/>
  <c r="J33" i="90"/>
  <c r="J34" i="90"/>
  <c r="J35" i="90"/>
  <c r="J37" i="90"/>
  <c r="J38" i="90"/>
  <c r="J39" i="90"/>
  <c r="J40" i="90"/>
  <c r="J41" i="90"/>
  <c r="J42" i="90"/>
  <c r="J43" i="90"/>
  <c r="J44" i="90"/>
  <c r="J45" i="90"/>
  <c r="J46" i="90"/>
  <c r="J47" i="90"/>
  <c r="J48" i="90"/>
  <c r="J49" i="90"/>
  <c r="J50" i="90"/>
  <c r="J51" i="90"/>
  <c r="J52" i="90"/>
  <c r="J53" i="90"/>
  <c r="J54" i="90"/>
  <c r="J55" i="90"/>
  <c r="J56" i="90"/>
  <c r="J57" i="90"/>
  <c r="J58" i="90"/>
  <c r="J59" i="90"/>
  <c r="J60" i="90"/>
  <c r="L8" i="90"/>
  <c r="M8" i="90"/>
  <c r="N8" i="90"/>
  <c r="L9" i="90"/>
  <c r="M9" i="90"/>
  <c r="N9" i="90"/>
  <c r="L10" i="90"/>
  <c r="M10" i="90"/>
  <c r="N10" i="90"/>
  <c r="J15" i="89"/>
  <c r="J16" i="89"/>
  <c r="J17" i="89"/>
  <c r="J18" i="89"/>
  <c r="J19" i="89"/>
  <c r="J20" i="89"/>
  <c r="J21" i="89"/>
  <c r="J22" i="89"/>
  <c r="J23" i="89"/>
  <c r="J24" i="89"/>
  <c r="J25" i="89"/>
  <c r="J26" i="89"/>
  <c r="J27" i="89"/>
  <c r="J28" i="89"/>
  <c r="J29" i="89"/>
  <c r="J30" i="89"/>
  <c r="J31" i="89"/>
  <c r="J32" i="89"/>
  <c r="J33" i="89"/>
  <c r="J34" i="89"/>
  <c r="J35" i="89"/>
  <c r="J36" i="89"/>
  <c r="J37" i="89"/>
  <c r="J38" i="89"/>
  <c r="J39" i="89"/>
  <c r="J40" i="89"/>
  <c r="L8" i="89"/>
  <c r="O8" i="89"/>
  <c r="P8" i="89"/>
  <c r="L9" i="89"/>
  <c r="O9" i="89"/>
  <c r="P9" i="89"/>
  <c r="L10" i="89"/>
  <c r="O10" i="89"/>
  <c r="P10" i="89"/>
  <c r="F4" i="89"/>
  <c r="G4" i="89"/>
  <c r="H4" i="89"/>
  <c r="I4" i="89"/>
  <c r="J4" i="89"/>
  <c r="K4" i="89"/>
  <c r="L4" i="89"/>
  <c r="M4" i="89"/>
  <c r="N4" i="89"/>
  <c r="O4" i="89"/>
  <c r="P4" i="89"/>
  <c r="F5" i="89"/>
  <c r="G5" i="89"/>
  <c r="H5" i="89"/>
  <c r="I5" i="89"/>
  <c r="J5" i="89"/>
  <c r="K5" i="89"/>
  <c r="L5" i="89"/>
  <c r="M5" i="89"/>
  <c r="N5" i="89"/>
  <c r="O5" i="89"/>
  <c r="P5" i="89"/>
  <c r="F6" i="89"/>
  <c r="G6" i="89"/>
  <c r="H6" i="89"/>
  <c r="I6" i="89"/>
  <c r="J6" i="89"/>
  <c r="K6" i="89"/>
  <c r="L6" i="89"/>
  <c r="M6" i="89"/>
  <c r="N6" i="89"/>
  <c r="O6" i="89"/>
  <c r="P6" i="89"/>
  <c r="J14" i="81"/>
  <c r="J15" i="81"/>
  <c r="J16" i="81"/>
  <c r="J17" i="81"/>
  <c r="J18" i="81"/>
  <c r="J19" i="81"/>
  <c r="J20" i="81"/>
  <c r="J21" i="81"/>
  <c r="J22" i="81"/>
  <c r="J24" i="81"/>
  <c r="J25" i="81"/>
  <c r="J26" i="81"/>
  <c r="J27" i="81"/>
  <c r="J28" i="81"/>
  <c r="J29" i="81"/>
  <c r="J30" i="81"/>
  <c r="J31" i="81"/>
  <c r="J32" i="81"/>
  <c r="J33" i="81"/>
  <c r="J34" i="81"/>
  <c r="J35" i="81"/>
  <c r="J36" i="81"/>
  <c r="J38" i="81"/>
  <c r="J39" i="81"/>
  <c r="J40" i="81"/>
  <c r="J41" i="81"/>
  <c r="J42" i="81"/>
  <c r="J43" i="81"/>
  <c r="J44" i="81"/>
  <c r="J45" i="81"/>
  <c r="J46" i="81"/>
  <c r="L8" i="81"/>
  <c r="M8" i="81"/>
  <c r="V8" i="81"/>
  <c r="L9" i="81"/>
  <c r="M9" i="81"/>
  <c r="V9" i="81"/>
  <c r="L10" i="81"/>
  <c r="M10" i="81"/>
  <c r="V10" i="81"/>
  <c r="F4" i="81"/>
  <c r="G4" i="81"/>
  <c r="H4" i="81"/>
  <c r="I4" i="81"/>
  <c r="J4" i="81"/>
  <c r="K4" i="81"/>
  <c r="L4" i="81"/>
  <c r="M4" i="81"/>
  <c r="N4" i="81"/>
  <c r="O4" i="81"/>
  <c r="P4" i="81"/>
  <c r="F5" i="81"/>
  <c r="G5" i="81"/>
  <c r="H5" i="81"/>
  <c r="I5" i="81"/>
  <c r="J5" i="81"/>
  <c r="K5" i="81"/>
  <c r="L5" i="81"/>
  <c r="M5" i="81"/>
  <c r="N5" i="81"/>
  <c r="O5" i="81"/>
  <c r="P5" i="81"/>
  <c r="F6" i="81"/>
  <c r="G6" i="81"/>
  <c r="H6" i="81"/>
  <c r="I6" i="81"/>
  <c r="J6" i="81"/>
  <c r="K6" i="81"/>
  <c r="L6" i="81"/>
  <c r="M6" i="81"/>
  <c r="N6" i="81"/>
  <c r="O6" i="81"/>
  <c r="P6" i="81"/>
  <c r="J14" i="82"/>
  <c r="J15" i="82"/>
  <c r="J16" i="82"/>
  <c r="J17" i="82"/>
  <c r="J18" i="82"/>
  <c r="J19" i="82"/>
  <c r="J20" i="82"/>
  <c r="J21" i="82"/>
  <c r="J22" i="82"/>
  <c r="J23" i="82"/>
  <c r="J24" i="82"/>
  <c r="J25" i="82"/>
  <c r="J26" i="82"/>
  <c r="J28" i="82"/>
  <c r="J29" i="82"/>
  <c r="J30" i="82"/>
  <c r="J31" i="82"/>
  <c r="J32" i="82"/>
  <c r="J33" i="82"/>
  <c r="J34" i="82"/>
  <c r="J35" i="82"/>
  <c r="J36" i="82"/>
  <c r="J37" i="82"/>
  <c r="J38" i="82"/>
  <c r="J39" i="82"/>
  <c r="J40" i="82"/>
  <c r="J41" i="82"/>
  <c r="J42" i="82"/>
  <c r="J43" i="82"/>
  <c r="J45" i="82"/>
  <c r="J46" i="82"/>
  <c r="J47" i="82"/>
  <c r="J48" i="82"/>
  <c r="J49" i="82"/>
  <c r="J50" i="82"/>
  <c r="J51" i="82"/>
  <c r="J53" i="82"/>
  <c r="J54" i="82"/>
  <c r="J55" i="82"/>
  <c r="J56" i="82"/>
  <c r="J57" i="82"/>
  <c r="J58" i="82"/>
  <c r="J59" i="82"/>
  <c r="J61" i="82"/>
  <c r="J62" i="82"/>
  <c r="J63" i="82"/>
  <c r="J64" i="82"/>
  <c r="J65" i="82"/>
  <c r="J66" i="82"/>
  <c r="J67" i="82"/>
  <c r="J68" i="82"/>
  <c r="J69" i="82"/>
  <c r="M8" i="82"/>
  <c r="N8" i="82"/>
  <c r="O8" i="82"/>
  <c r="P8" i="82"/>
  <c r="Q8" i="82"/>
  <c r="R8" i="82"/>
  <c r="S8" i="82"/>
  <c r="T8" i="82"/>
  <c r="M9" i="82"/>
  <c r="N9" i="82"/>
  <c r="O9" i="82"/>
  <c r="P9" i="82"/>
  <c r="Q9" i="82"/>
  <c r="R9" i="82"/>
  <c r="S9" i="82"/>
  <c r="T9" i="82"/>
  <c r="M10" i="82"/>
  <c r="N10" i="82"/>
  <c r="O10" i="82"/>
  <c r="P10" i="82"/>
  <c r="Q10" i="82"/>
  <c r="R10" i="82"/>
  <c r="S10" i="82"/>
  <c r="T10" i="82"/>
  <c r="F4" i="62"/>
  <c r="G4" i="62"/>
  <c r="H4" i="62"/>
  <c r="I4" i="62"/>
  <c r="J4" i="62"/>
  <c r="K4" i="62"/>
  <c r="L4" i="62"/>
  <c r="M4" i="62"/>
  <c r="N4" i="62"/>
  <c r="O4" i="62"/>
  <c r="P4" i="62"/>
  <c r="F5" i="62"/>
  <c r="G5" i="62"/>
  <c r="H5" i="62"/>
  <c r="I5" i="62"/>
  <c r="J5" i="62"/>
  <c r="K5" i="62"/>
  <c r="L5" i="62"/>
  <c r="M5" i="62"/>
  <c r="N5" i="62"/>
  <c r="O5" i="62"/>
  <c r="P5" i="62"/>
  <c r="F6" i="62"/>
  <c r="G6" i="62"/>
  <c r="H6" i="62"/>
  <c r="I6" i="62"/>
  <c r="J6" i="62"/>
  <c r="K6" i="62"/>
  <c r="L6" i="62"/>
  <c r="M6" i="62"/>
  <c r="N6" i="62"/>
  <c r="O6" i="62"/>
  <c r="P6" i="62"/>
  <c r="L8" i="62"/>
  <c r="N8" i="62"/>
  <c r="O8" i="62"/>
  <c r="L9" i="62"/>
  <c r="N9" i="62"/>
  <c r="O9" i="62"/>
  <c r="L10" i="62"/>
  <c r="N10" i="62"/>
  <c r="O10" i="62"/>
  <c r="J14" i="62"/>
  <c r="J15" i="62"/>
  <c r="J16" i="62"/>
  <c r="J17" i="62"/>
  <c r="J18" i="62"/>
  <c r="J19" i="62"/>
  <c r="J20" i="62"/>
  <c r="J21" i="62"/>
  <c r="J22" i="62"/>
  <c r="J23" i="62"/>
  <c r="J24" i="62"/>
  <c r="J25" i="62"/>
  <c r="J26" i="62"/>
  <c r="J27" i="62"/>
  <c r="J28" i="62"/>
  <c r="J29" i="62"/>
  <c r="J30" i="62"/>
  <c r="J31" i="62"/>
  <c r="J32" i="62"/>
  <c r="J33" i="62"/>
  <c r="J35" i="62"/>
  <c r="J36" i="62"/>
  <c r="J37" i="62"/>
  <c r="J38" i="62"/>
  <c r="J39" i="62"/>
  <c r="J40" i="62"/>
  <c r="J41" i="62"/>
  <c r="J42" i="62"/>
  <c r="J43" i="62"/>
  <c r="J44" i="62"/>
  <c r="J45" i="62"/>
  <c r="J46" i="62"/>
  <c r="J47" i="62"/>
  <c r="J48" i="62"/>
  <c r="J49" i="62"/>
  <c r="J50" i="62"/>
  <c r="J51" i="62"/>
  <c r="J52" i="62"/>
  <c r="J53" i="62"/>
  <c r="J54" i="62"/>
  <c r="J55" i="62"/>
  <c r="J56" i="62"/>
  <c r="J57" i="62"/>
  <c r="J58" i="62"/>
  <c r="J59" i="62"/>
  <c r="J60" i="62"/>
  <c r="J61" i="62"/>
  <c r="J62" i="62"/>
  <c r="J63" i="62"/>
  <c r="J64" i="62"/>
  <c r="J65" i="62"/>
  <c r="J66" i="62"/>
  <c r="J67" i="62"/>
  <c r="J68" i="62"/>
  <c r="J69" i="62"/>
  <c r="J70" i="62"/>
  <c r="J71" i="62"/>
  <c r="J72" i="62"/>
  <c r="J73" i="62"/>
  <c r="J75" i="62"/>
  <c r="J76" i="62"/>
  <c r="J77" i="62"/>
  <c r="J78" i="62"/>
  <c r="J79" i="62"/>
  <c r="J80" i="62"/>
  <c r="J81" i="62"/>
  <c r="J82" i="62"/>
  <c r="J83" i="62"/>
  <c r="J85" i="62"/>
  <c r="J86" i="62"/>
  <c r="J87" i="62"/>
  <c r="J88" i="62"/>
  <c r="J89" i="62"/>
  <c r="J90" i="62"/>
  <c r="J91" i="62"/>
  <c r="J92" i="62"/>
  <c r="J93" i="62"/>
  <c r="J94" i="62"/>
  <c r="J95" i="62"/>
  <c r="J96" i="62"/>
  <c r="J97" i="62"/>
  <c r="J98" i="62"/>
  <c r="J99" i="62"/>
  <c r="J100" i="62"/>
  <c r="J101" i="62"/>
  <c r="J105" i="62"/>
  <c r="J104" i="62"/>
  <c r="J106" i="62"/>
  <c r="J107" i="62"/>
  <c r="J108" i="62"/>
  <c r="J109" i="62"/>
  <c r="B12" i="62"/>
  <c r="O40" i="74" l="1"/>
  <c r="U12" i="81"/>
  <c r="O49" i="74"/>
  <c r="O37" i="74"/>
  <c r="O46" i="74"/>
  <c r="O34" i="74"/>
  <c r="O43" i="74"/>
  <c r="O33" i="74"/>
  <c r="O48" i="74"/>
  <c r="O45" i="74"/>
  <c r="O42" i="74"/>
  <c r="O39" i="74"/>
  <c r="O36" i="74"/>
  <c r="V12" i="81"/>
  <c r="T12" i="81"/>
  <c r="P49" i="74"/>
  <c r="P48" i="74"/>
  <c r="P46" i="74"/>
  <c r="P45" i="74"/>
  <c r="P43" i="74"/>
  <c r="P42" i="74"/>
  <c r="P40" i="74"/>
  <c r="P39" i="74"/>
  <c r="P37" i="74"/>
  <c r="P36" i="74"/>
  <c r="P34" i="74"/>
  <c r="P33" i="74"/>
  <c r="K10" i="90"/>
  <c r="K9" i="90"/>
  <c r="K8" i="90"/>
  <c r="K10" i="89"/>
  <c r="K9" i="89"/>
  <c r="K8" i="89"/>
  <c r="K10" i="81"/>
  <c r="K9" i="81"/>
  <c r="K8" i="81"/>
  <c r="K8" i="62"/>
  <c r="K9" i="62"/>
  <c r="K10" i="62"/>
  <c r="E6" i="89"/>
  <c r="D6" i="89"/>
  <c r="D21" i="74" s="1"/>
  <c r="E5" i="89"/>
  <c r="D5" i="89"/>
  <c r="D27" i="74" s="1"/>
  <c r="E4" i="89"/>
  <c r="D4" i="89"/>
  <c r="D15" i="74" s="1"/>
  <c r="E6" i="81"/>
  <c r="D6" i="81"/>
  <c r="D19" i="74" s="1"/>
  <c r="E5" i="81"/>
  <c r="D5" i="81"/>
  <c r="D25" i="74" s="1"/>
  <c r="E4" i="81"/>
  <c r="D4" i="81"/>
  <c r="D13" i="74" s="1"/>
  <c r="D4" i="62"/>
  <c r="D12" i="74" s="1"/>
  <c r="D5" i="62"/>
  <c r="D24" i="74" s="1"/>
  <c r="D6" i="62"/>
  <c r="D18" i="74" s="1"/>
  <c r="E5" i="62"/>
  <c r="E6" i="62"/>
  <c r="E30" i="74"/>
  <c r="E31" i="74" s="1"/>
  <c r="M78" i="74" l="1"/>
  <c r="L78" i="74"/>
  <c r="K78" i="74"/>
  <c r="J78" i="74"/>
  <c r="I78" i="74"/>
  <c r="H78" i="74"/>
  <c r="G78" i="74"/>
  <c r="F78" i="74"/>
  <c r="E78" i="74"/>
  <c r="T76" i="82"/>
  <c r="T75" i="82"/>
  <c r="T74" i="82"/>
  <c r="T73" i="82"/>
  <c r="T72" i="82"/>
  <c r="T71" i="82"/>
  <c r="T70" i="82"/>
  <c r="S76" i="82"/>
  <c r="R76" i="82"/>
  <c r="S75" i="82"/>
  <c r="R75" i="82"/>
  <c r="S74" i="82"/>
  <c r="R74" i="82"/>
  <c r="S73" i="82"/>
  <c r="R73" i="82"/>
  <c r="S72" i="82"/>
  <c r="R72" i="82"/>
  <c r="S71" i="82"/>
  <c r="R71" i="82"/>
  <c r="S70" i="82"/>
  <c r="R70" i="82"/>
  <c r="Q76" i="82"/>
  <c r="Q75" i="82"/>
  <c r="Q74" i="82"/>
  <c r="Q73" i="82"/>
  <c r="Q72" i="82"/>
  <c r="Q71" i="82"/>
  <c r="Q70" i="82"/>
  <c r="O76" i="82"/>
  <c r="O75" i="82"/>
  <c r="O74" i="82"/>
  <c r="O73" i="82"/>
  <c r="O72" i="82"/>
  <c r="O71" i="82"/>
  <c r="O70" i="82"/>
  <c r="P76" i="82"/>
  <c r="P75" i="82"/>
  <c r="P74" i="82"/>
  <c r="P73" i="82"/>
  <c r="P72" i="82"/>
  <c r="P71" i="82"/>
  <c r="P70" i="82"/>
  <c r="E10" i="74"/>
  <c r="J13" i="82"/>
  <c r="J13" i="81"/>
  <c r="J13" i="89"/>
  <c r="J13" i="90"/>
  <c r="J13" i="62"/>
  <c r="E25" i="74" l="1"/>
  <c r="E27" i="74"/>
  <c r="E19" i="74"/>
  <c r="E21" i="74"/>
  <c r="E12" i="74"/>
  <c r="E24" i="74"/>
  <c r="E18" i="74"/>
  <c r="E13" i="74"/>
  <c r="E15" i="74"/>
  <c r="F10" i="74"/>
  <c r="G3" i="92"/>
  <c r="M3" i="92" s="1"/>
  <c r="S3" i="92" s="1"/>
  <c r="Y3" i="92" s="1"/>
  <c r="K12" i="82"/>
  <c r="M30" i="74"/>
  <c r="S12" i="81" s="1"/>
  <c r="L30" i="74"/>
  <c r="R12" i="81" s="1"/>
  <c r="K30" i="74"/>
  <c r="Q12" i="81" s="1"/>
  <c r="J30" i="74"/>
  <c r="P12" i="81" s="1"/>
  <c r="I30" i="74"/>
  <c r="O12" i="81" s="1"/>
  <c r="H30" i="74"/>
  <c r="N12" i="81" s="1"/>
  <c r="G30" i="74"/>
  <c r="M12" i="81" s="1"/>
  <c r="F30" i="74"/>
  <c r="F31" i="74" s="1"/>
  <c r="P8" i="62"/>
  <c r="P9" i="62"/>
  <c r="P10" i="62"/>
  <c r="L71" i="82"/>
  <c r="M71" i="82"/>
  <c r="N71" i="82"/>
  <c r="L72" i="82"/>
  <c r="M72" i="82"/>
  <c r="N72" i="82"/>
  <c r="L73" i="82"/>
  <c r="M73" i="82"/>
  <c r="N73" i="82"/>
  <c r="L74" i="82"/>
  <c r="M74" i="82"/>
  <c r="N74" i="82"/>
  <c r="L75" i="82"/>
  <c r="M75" i="82"/>
  <c r="N75" i="82"/>
  <c r="L76" i="82"/>
  <c r="M76" i="82"/>
  <c r="N76" i="82"/>
  <c r="N70" i="82"/>
  <c r="M70" i="82"/>
  <c r="L70" i="82"/>
  <c r="F4" i="74"/>
  <c r="B3" i="92"/>
  <c r="B12" i="90"/>
  <c r="B12" i="89"/>
  <c r="B12" i="81"/>
  <c r="B12" i="82"/>
  <c r="L31" i="74"/>
  <c r="O10" i="90"/>
  <c r="O8" i="90"/>
  <c r="W9" i="82"/>
  <c r="H31" i="74" l="1"/>
  <c r="L8" i="82"/>
  <c r="L10" i="82"/>
  <c r="L9" i="82"/>
  <c r="J31" i="74"/>
  <c r="G31" i="74"/>
  <c r="M31" i="74"/>
  <c r="K31" i="74"/>
  <c r="I31" i="74"/>
  <c r="F33" i="74"/>
  <c r="F34" i="74"/>
  <c r="F36" i="74"/>
  <c r="F39" i="74"/>
  <c r="F40" i="74"/>
  <c r="F42" i="74"/>
  <c r="F45" i="74"/>
  <c r="F46" i="74"/>
  <c r="F48" i="74"/>
  <c r="H33" i="74"/>
  <c r="H34" i="74"/>
  <c r="H36" i="74"/>
  <c r="H39" i="74"/>
  <c r="H40" i="74"/>
  <c r="H42" i="74"/>
  <c r="H45" i="74"/>
  <c r="H46" i="74"/>
  <c r="H48" i="74"/>
  <c r="J33" i="74"/>
  <c r="J34" i="74"/>
  <c r="J36" i="74"/>
  <c r="J39" i="74"/>
  <c r="J40" i="74"/>
  <c r="J42" i="74"/>
  <c r="J45" i="74"/>
  <c r="J46" i="74"/>
  <c r="J48" i="74"/>
  <c r="L33" i="74"/>
  <c r="L34" i="74"/>
  <c r="L36" i="74"/>
  <c r="L39" i="74"/>
  <c r="L40" i="74"/>
  <c r="L42" i="74"/>
  <c r="L45" i="74"/>
  <c r="L46" i="74"/>
  <c r="L48" i="74"/>
  <c r="G33" i="74"/>
  <c r="G34" i="74"/>
  <c r="G36" i="74"/>
  <c r="G39" i="74"/>
  <c r="G40" i="74"/>
  <c r="G42" i="74"/>
  <c r="G45" i="74"/>
  <c r="G46" i="74"/>
  <c r="G48" i="74"/>
  <c r="I33" i="74"/>
  <c r="I34" i="74"/>
  <c r="I36" i="74"/>
  <c r="I39" i="74"/>
  <c r="I40" i="74"/>
  <c r="I42" i="74"/>
  <c r="I45" i="74"/>
  <c r="I46" i="74"/>
  <c r="I48" i="74"/>
  <c r="K33" i="74"/>
  <c r="K34" i="74"/>
  <c r="K36" i="74"/>
  <c r="K39" i="74"/>
  <c r="K40" i="74"/>
  <c r="K42" i="74"/>
  <c r="K45" i="74"/>
  <c r="K46" i="74"/>
  <c r="K48" i="74"/>
  <c r="M33" i="74"/>
  <c r="M34" i="74"/>
  <c r="M36" i="74"/>
  <c r="M39" i="74"/>
  <c r="M40" i="74"/>
  <c r="M42" i="74"/>
  <c r="M45" i="74"/>
  <c r="M46" i="74"/>
  <c r="M48" i="74"/>
  <c r="F12" i="74"/>
  <c r="F13" i="74"/>
  <c r="F15" i="74"/>
  <c r="F18" i="74"/>
  <c r="F19" i="74"/>
  <c r="F21" i="74"/>
  <c r="F24" i="74"/>
  <c r="F25" i="74"/>
  <c r="F27" i="74"/>
  <c r="G79" i="74"/>
  <c r="I79" i="74"/>
  <c r="K79" i="74"/>
  <c r="M79" i="74"/>
  <c r="F79" i="74"/>
  <c r="H79" i="74"/>
  <c r="J79" i="74"/>
  <c r="L79" i="74"/>
  <c r="E79" i="74"/>
  <c r="D79" i="74"/>
  <c r="L12" i="82"/>
  <c r="H3" i="92"/>
  <c r="G10" i="74"/>
  <c r="D46" i="74"/>
  <c r="O9" i="90"/>
  <c r="D31" i="74"/>
  <c r="W10" i="82"/>
  <c r="W8" i="82"/>
  <c r="K12" i="81"/>
  <c r="L12" i="81"/>
  <c r="W8" i="81"/>
  <c r="Q10" i="89"/>
  <c r="Q9" i="89"/>
  <c r="W9" i="81"/>
  <c r="Q8" i="89"/>
  <c r="W10" i="81"/>
  <c r="N34" i="74" l="1"/>
  <c r="N37" i="74"/>
  <c r="N40" i="74"/>
  <c r="N43" i="74"/>
  <c r="N46" i="74"/>
  <c r="N49" i="74"/>
  <c r="N33" i="74"/>
  <c r="N36" i="74"/>
  <c r="N39" i="74"/>
  <c r="N42" i="74"/>
  <c r="N45" i="74"/>
  <c r="N48" i="74"/>
  <c r="N3" i="92"/>
  <c r="T3" i="92" s="1"/>
  <c r="Z3" i="92" s="1"/>
  <c r="E46" i="74"/>
  <c r="E40" i="74"/>
  <c r="E34" i="74"/>
  <c r="E33" i="74"/>
  <c r="E39" i="74"/>
  <c r="E45" i="74"/>
  <c r="E36" i="74"/>
  <c r="E42" i="74"/>
  <c r="E48" i="74"/>
  <c r="G12" i="74"/>
  <c r="G18" i="74"/>
  <c r="G24" i="74"/>
  <c r="G13" i="74"/>
  <c r="G15" i="74"/>
  <c r="G19" i="74"/>
  <c r="G21" i="74"/>
  <c r="G25" i="74"/>
  <c r="G27" i="74"/>
  <c r="M12" i="82"/>
  <c r="I3" i="92"/>
  <c r="O3" i="92" s="1"/>
  <c r="U3" i="92" s="1"/>
  <c r="AA3" i="92" s="1"/>
  <c r="H10" i="74"/>
  <c r="D42" i="74"/>
  <c r="D40" i="74"/>
  <c r="D48" i="74"/>
  <c r="D34" i="74"/>
  <c r="D45" i="74"/>
  <c r="D33" i="74"/>
  <c r="D36" i="74"/>
  <c r="D39" i="74"/>
  <c r="H12" i="74" l="1"/>
  <c r="H13" i="74"/>
  <c r="H15" i="74"/>
  <c r="H18" i="74"/>
  <c r="H19" i="74"/>
  <c r="H21" i="74"/>
  <c r="H24" i="74"/>
  <c r="H25" i="74"/>
  <c r="H27" i="74"/>
  <c r="J3" i="92"/>
  <c r="P3" i="92" s="1"/>
  <c r="V3" i="92" s="1"/>
  <c r="AB3" i="92" s="1"/>
  <c r="N12" i="82"/>
  <c r="I10" i="74"/>
  <c r="O12" i="82" s="1"/>
  <c r="I13" i="74" l="1"/>
  <c r="I15" i="74"/>
  <c r="I19" i="74"/>
  <c r="I21" i="74"/>
  <c r="I12" i="74"/>
  <c r="I18" i="74"/>
  <c r="I24" i="74"/>
  <c r="I25" i="74"/>
  <c r="I27" i="74"/>
  <c r="K3" i="92"/>
  <c r="Q3" i="92" s="1"/>
  <c r="J10" i="74"/>
  <c r="P12" i="82" s="1"/>
  <c r="L5" i="92" l="1"/>
  <c r="L9" i="92"/>
  <c r="L19" i="92"/>
  <c r="L18" i="92"/>
  <c r="J12" i="74"/>
  <c r="J13" i="74"/>
  <c r="J15" i="74"/>
  <c r="J18" i="74"/>
  <c r="J19" i="74"/>
  <c r="J21" i="74"/>
  <c r="J24" i="74"/>
  <c r="J25" i="74"/>
  <c r="J27" i="74"/>
  <c r="L13" i="92"/>
  <c r="L12" i="92"/>
  <c r="L20" i="92"/>
  <c r="L15" i="92"/>
  <c r="L10" i="92"/>
  <c r="L7" i="92"/>
  <c r="L4" i="92"/>
  <c r="L17" i="92"/>
  <c r="L14" i="92"/>
  <c r="L8" i="92"/>
  <c r="L6" i="92"/>
  <c r="W3" i="92"/>
  <c r="R18" i="92"/>
  <c r="R15" i="92"/>
  <c r="R12" i="92"/>
  <c r="R14" i="92"/>
  <c r="R19" i="92"/>
  <c r="R9" i="92"/>
  <c r="R8" i="92"/>
  <c r="R4" i="92"/>
  <c r="R13" i="92"/>
  <c r="R5" i="92"/>
  <c r="R17" i="92"/>
  <c r="R10" i="92"/>
  <c r="R20" i="92"/>
  <c r="R7" i="92"/>
  <c r="R6" i="92"/>
  <c r="K10" i="74"/>
  <c r="Q12" i="82" s="1"/>
  <c r="K81" i="82" l="1"/>
  <c r="J81" i="82" s="1"/>
  <c r="K80" i="82"/>
  <c r="J80" i="82" s="1"/>
  <c r="K79" i="82"/>
  <c r="J79" i="82" s="1"/>
  <c r="K78" i="82"/>
  <c r="J78" i="82" s="1"/>
  <c r="K86" i="82"/>
  <c r="J86" i="82" s="1"/>
  <c r="K85" i="82"/>
  <c r="J85" i="82" s="1"/>
  <c r="K84" i="82"/>
  <c r="J84" i="82" s="1"/>
  <c r="K83" i="82"/>
  <c r="J83" i="82" s="1"/>
  <c r="K12" i="74"/>
  <c r="K18" i="74"/>
  <c r="K24" i="74"/>
  <c r="K13" i="74"/>
  <c r="K15" i="74"/>
  <c r="K19" i="74"/>
  <c r="K21" i="74"/>
  <c r="K25" i="74"/>
  <c r="K27" i="74"/>
  <c r="AC3" i="92"/>
  <c r="X18" i="92"/>
  <c r="X12" i="92"/>
  <c r="X19" i="92"/>
  <c r="X6" i="92"/>
  <c r="X10" i="92"/>
  <c r="X17" i="92"/>
  <c r="X14" i="92"/>
  <c r="X8" i="92"/>
  <c r="X13" i="92"/>
  <c r="X5" i="92"/>
  <c r="X7" i="92"/>
  <c r="X15" i="92"/>
  <c r="X4" i="92"/>
  <c r="X20" i="92"/>
  <c r="X9" i="92"/>
  <c r="L10" i="74"/>
  <c r="R12" i="82" s="1"/>
  <c r="L12" i="74" l="1"/>
  <c r="L13" i="74"/>
  <c r="L15" i="74"/>
  <c r="L18" i="74"/>
  <c r="L19" i="74"/>
  <c r="L21" i="74"/>
  <c r="L24" i="74"/>
  <c r="L25" i="74"/>
  <c r="L27" i="74"/>
  <c r="AD14" i="92"/>
  <c r="AD10" i="92"/>
  <c r="AD9" i="92"/>
  <c r="AD20" i="92"/>
  <c r="AD18" i="92"/>
  <c r="AD5" i="92"/>
  <c r="AD17" i="92"/>
  <c r="AD12" i="92"/>
  <c r="AD7" i="92"/>
  <c r="AD4" i="92"/>
  <c r="AD13" i="92"/>
  <c r="AD15" i="92"/>
  <c r="AD8" i="92"/>
  <c r="AD6" i="92"/>
  <c r="AD19" i="92"/>
  <c r="M10" i="74"/>
  <c r="S12" i="82" s="1"/>
  <c r="M13" i="74" l="1"/>
  <c r="M15" i="74"/>
  <c r="M19" i="74"/>
  <c r="M21" i="74"/>
  <c r="M12" i="74"/>
  <c r="M18" i="74"/>
  <c r="M24" i="74"/>
  <c r="M25" i="74"/>
  <c r="M27" i="74"/>
  <c r="K75" i="82"/>
  <c r="J75" i="82" s="1"/>
  <c r="K76" i="82"/>
  <c r="J76" i="82" s="1"/>
  <c r="K73" i="82"/>
  <c r="J73" i="82" s="1"/>
  <c r="K74" i="82"/>
  <c r="J74" i="82" s="1"/>
  <c r="K71" i="82"/>
  <c r="J71" i="82" s="1"/>
  <c r="K72" i="82"/>
  <c r="J72" i="82" s="1"/>
  <c r="K70" i="82"/>
  <c r="N10" i="74"/>
  <c r="T12" i="82" s="1"/>
  <c r="Q5" i="82" l="1"/>
  <c r="Q6" i="82"/>
  <c r="Q4" i="82"/>
  <c r="F91" i="74"/>
  <c r="E91" i="74"/>
  <c r="M91" i="74"/>
  <c r="J91" i="74"/>
  <c r="L91" i="74"/>
  <c r="G91" i="74"/>
  <c r="E93" i="74"/>
  <c r="E94" i="74" s="1"/>
  <c r="I91" i="74"/>
  <c r="K91" i="74"/>
  <c r="H91" i="74"/>
  <c r="D91" i="74"/>
  <c r="D93" i="74"/>
  <c r="D92" i="74"/>
  <c r="D90" i="74"/>
  <c r="D82" i="74"/>
  <c r="D80" i="74"/>
  <c r="D88" i="74"/>
  <c r="D81" i="74"/>
  <c r="D89" i="74"/>
  <c r="D87" i="74"/>
  <c r="D85" i="74"/>
  <c r="D84" i="74"/>
  <c r="D83" i="74"/>
  <c r="D86" i="74"/>
  <c r="O32" i="74"/>
  <c r="N35" i="74"/>
  <c r="P35" i="74"/>
  <c r="O38" i="74"/>
  <c r="N41" i="74"/>
  <c r="P41" i="74"/>
  <c r="O44" i="74"/>
  <c r="N47" i="74"/>
  <c r="P47" i="74"/>
  <c r="N44" i="74"/>
  <c r="O47" i="74"/>
  <c r="N32" i="74"/>
  <c r="P32" i="74"/>
  <c r="O35" i="74"/>
  <c r="N38" i="74"/>
  <c r="P38" i="74"/>
  <c r="O41" i="74"/>
  <c r="P44" i="74"/>
  <c r="G4" i="82"/>
  <c r="I4" i="82"/>
  <c r="K4" i="82"/>
  <c r="M4" i="82"/>
  <c r="O4" i="82"/>
  <c r="F5" i="82"/>
  <c r="H5" i="82"/>
  <c r="J5" i="82"/>
  <c r="L5" i="82"/>
  <c r="N5" i="82"/>
  <c r="P5" i="82"/>
  <c r="G6" i="82"/>
  <c r="I6" i="82"/>
  <c r="K6" i="82"/>
  <c r="M6" i="82"/>
  <c r="O6" i="82"/>
  <c r="J70" i="82"/>
  <c r="F4" i="82"/>
  <c r="H4" i="82"/>
  <c r="J4" i="82"/>
  <c r="L4" i="82"/>
  <c r="N4" i="82"/>
  <c r="P4" i="82"/>
  <c r="G5" i="82"/>
  <c r="I5" i="82"/>
  <c r="K5" i="82"/>
  <c r="M5" i="82"/>
  <c r="O5" i="82"/>
  <c r="F6" i="82"/>
  <c r="H6" i="82"/>
  <c r="J6" i="82"/>
  <c r="L6" i="82"/>
  <c r="N6" i="82"/>
  <c r="P6" i="82"/>
  <c r="N12" i="74"/>
  <c r="N13" i="74"/>
  <c r="N14" i="74"/>
  <c r="N15" i="74"/>
  <c r="N18" i="74"/>
  <c r="N19" i="74"/>
  <c r="N20" i="74"/>
  <c r="N21" i="74"/>
  <c r="N24" i="74"/>
  <c r="N25" i="74"/>
  <c r="N26" i="74"/>
  <c r="N27" i="74"/>
  <c r="K10" i="82"/>
  <c r="K8" i="82"/>
  <c r="D6" i="82"/>
  <c r="D20" i="74" s="1"/>
  <c r="E5" i="82"/>
  <c r="D4" i="82"/>
  <c r="D14" i="74" s="1"/>
  <c r="G35" i="74"/>
  <c r="I35" i="74"/>
  <c r="K35" i="74"/>
  <c r="M35" i="74"/>
  <c r="G41" i="74"/>
  <c r="I41" i="74"/>
  <c r="K41" i="74"/>
  <c r="M41" i="74"/>
  <c r="G47" i="74"/>
  <c r="I47" i="74"/>
  <c r="K47" i="74"/>
  <c r="M47" i="74"/>
  <c r="K9" i="82"/>
  <c r="E6" i="82"/>
  <c r="D5" i="82"/>
  <c r="D26" i="74" s="1"/>
  <c r="E4" i="82"/>
  <c r="F35" i="74"/>
  <c r="H35" i="74"/>
  <c r="J35" i="74"/>
  <c r="L35" i="74"/>
  <c r="F41" i="74"/>
  <c r="H41" i="74"/>
  <c r="J41" i="74"/>
  <c r="L41" i="74"/>
  <c r="F47" i="74"/>
  <c r="H47" i="74"/>
  <c r="J47" i="74"/>
  <c r="L47" i="74"/>
  <c r="E41" i="74"/>
  <c r="E35" i="74"/>
  <c r="E47" i="74"/>
  <c r="E26" i="74"/>
  <c r="E14" i="74"/>
  <c r="E20" i="74"/>
  <c r="F14" i="74"/>
  <c r="F20" i="74"/>
  <c r="F26" i="74"/>
  <c r="G14" i="74"/>
  <c r="G26" i="74"/>
  <c r="G20" i="74"/>
  <c r="H14" i="74"/>
  <c r="H20" i="74"/>
  <c r="H26" i="74"/>
  <c r="I20" i="74"/>
  <c r="I26" i="74"/>
  <c r="I14" i="74"/>
  <c r="J14" i="74"/>
  <c r="J20" i="74"/>
  <c r="J26" i="74"/>
  <c r="K14" i="74"/>
  <c r="K26" i="74"/>
  <c r="K20" i="74"/>
  <c r="L14" i="74"/>
  <c r="L20" i="74"/>
  <c r="L26" i="74"/>
  <c r="M14" i="74"/>
  <c r="M26" i="74"/>
  <c r="M20" i="74"/>
  <c r="O10" i="74"/>
  <c r="U12" i="82" s="1"/>
  <c r="D94" i="74" l="1"/>
  <c r="O12" i="74"/>
  <c r="O14" i="74"/>
  <c r="O18" i="74"/>
  <c r="O20" i="74"/>
  <c r="O24" i="74"/>
  <c r="O13" i="74"/>
  <c r="O15" i="74"/>
  <c r="O19" i="74"/>
  <c r="O21" i="74"/>
  <c r="O25" i="74"/>
  <c r="O26" i="74"/>
  <c r="O27" i="74"/>
  <c r="D47" i="74"/>
  <c r="D35" i="74"/>
  <c r="D41" i="74"/>
  <c r="P10" i="74"/>
  <c r="V12" i="82" s="1"/>
  <c r="P12" i="74" l="1"/>
  <c r="P13" i="74"/>
  <c r="P14" i="74"/>
  <c r="P15" i="74"/>
  <c r="P18" i="74"/>
  <c r="P19" i="74"/>
  <c r="P20" i="74"/>
  <c r="P21" i="74"/>
  <c r="P24" i="74"/>
  <c r="P25" i="74"/>
  <c r="P26" i="74"/>
  <c r="P27" i="74"/>
  <c r="Q10" i="74"/>
  <c r="Q13" i="74" l="1"/>
  <c r="Q15" i="74"/>
  <c r="Q19" i="74"/>
  <c r="Q21" i="74"/>
  <c r="Q12" i="74"/>
  <c r="Q14" i="74"/>
  <c r="Q18" i="74"/>
  <c r="Q20" i="74"/>
  <c r="Q24" i="74"/>
  <c r="Q25" i="74"/>
  <c r="Q26" i="74"/>
  <c r="Q27" i="74"/>
  <c r="R10" i="74"/>
  <c r="R12" i="74" l="1"/>
  <c r="R13" i="74"/>
  <c r="R14" i="74"/>
  <c r="R15" i="74"/>
  <c r="R18" i="74"/>
  <c r="R19" i="74"/>
  <c r="R20" i="74"/>
  <c r="R21" i="74"/>
  <c r="R24" i="74"/>
  <c r="R25" i="74"/>
  <c r="R26" i="74"/>
  <c r="R27" i="74"/>
  <c r="S10" i="74"/>
  <c r="S12" i="74" l="1"/>
  <c r="S14" i="74"/>
  <c r="S18" i="74"/>
  <c r="S20" i="74"/>
  <c r="S24" i="74"/>
  <c r="S13" i="74"/>
  <c r="S15" i="74"/>
  <c r="S19" i="74"/>
  <c r="S21" i="74"/>
  <c r="S25" i="74"/>
  <c r="S26" i="74"/>
  <c r="S27" i="74"/>
  <c r="T10" i="74"/>
  <c r="T12" i="74" l="1"/>
  <c r="T13" i="74"/>
  <c r="T14" i="74"/>
  <c r="T15" i="74"/>
  <c r="T18" i="74"/>
  <c r="T19" i="74"/>
  <c r="T20" i="74"/>
  <c r="T21" i="74"/>
  <c r="T24" i="74"/>
  <c r="T25" i="74"/>
  <c r="T26" i="74"/>
  <c r="T27" i="74"/>
  <c r="U10" i="74"/>
  <c r="U13" i="74" l="1"/>
  <c r="U15" i="74"/>
  <c r="U19" i="74"/>
  <c r="U21" i="74"/>
  <c r="U12" i="74"/>
  <c r="U14" i="74"/>
  <c r="U18" i="74"/>
  <c r="U20" i="74"/>
  <c r="U24" i="74"/>
  <c r="U25" i="74"/>
  <c r="U26" i="74"/>
  <c r="U27" i="74"/>
  <c r="V10" i="74"/>
  <c r="V12" i="74" l="1"/>
  <c r="V13" i="74"/>
  <c r="V14" i="74"/>
  <c r="V15" i="74"/>
  <c r="V18" i="74"/>
  <c r="V19" i="74"/>
  <c r="V20" i="74"/>
  <c r="V21" i="74"/>
  <c r="V24" i="74"/>
  <c r="V25" i="74"/>
  <c r="V26" i="74"/>
  <c r="V27" i="74"/>
  <c r="W10" i="74"/>
  <c r="W12" i="74" l="1"/>
  <c r="W14" i="74"/>
  <c r="W18" i="74"/>
  <c r="W20" i="74"/>
  <c r="W24" i="74"/>
  <c r="W13" i="74"/>
  <c r="W15" i="74"/>
  <c r="W19" i="74"/>
  <c r="W21" i="74"/>
  <c r="W25" i="74"/>
  <c r="W26" i="74"/>
  <c r="W27" i="74"/>
  <c r="X10" i="74"/>
  <c r="X12" i="74" l="1"/>
  <c r="X13" i="74"/>
  <c r="X14" i="74"/>
  <c r="X15" i="74"/>
  <c r="X18" i="74"/>
  <c r="X19" i="74"/>
  <c r="X20" i="74"/>
  <c r="X21" i="74"/>
  <c r="X24" i="74"/>
  <c r="X25" i="74"/>
  <c r="X26" i="74"/>
  <c r="X27" i="74"/>
  <c r="Y10" i="74"/>
  <c r="Y13" i="74" l="1"/>
  <c r="Y15" i="74"/>
  <c r="Y19" i="74"/>
  <c r="Y21" i="74"/>
  <c r="Y12" i="74"/>
  <c r="Y14" i="74"/>
  <c r="Y18" i="74"/>
  <c r="Y20" i="74"/>
  <c r="Y24" i="74"/>
  <c r="Y25" i="74"/>
  <c r="Y26" i="74"/>
  <c r="Y27" i="74"/>
  <c r="Z10" i="74"/>
  <c r="Z12" i="74" l="1"/>
  <c r="Z13" i="74"/>
  <c r="Z14" i="74"/>
  <c r="Z15" i="74"/>
  <c r="Z18" i="74"/>
  <c r="Z19" i="74"/>
  <c r="Z20" i="74"/>
  <c r="Z21" i="74"/>
  <c r="Z24" i="74"/>
  <c r="Z25" i="74"/>
  <c r="Z26" i="74"/>
  <c r="Z27" i="74"/>
  <c r="AA10" i="74"/>
  <c r="AA12" i="74" l="1"/>
  <c r="AA14" i="74"/>
  <c r="AA18" i="74"/>
  <c r="AA20" i="74"/>
  <c r="AA24" i="74"/>
  <c r="AA13" i="74"/>
  <c r="AA15" i="74"/>
  <c r="AA19" i="74"/>
  <c r="AA21" i="74"/>
  <c r="AA25" i="74"/>
  <c r="AA26" i="74"/>
  <c r="AA27" i="74"/>
  <c r="AB10" i="74"/>
  <c r="AB12" i="74" l="1"/>
  <c r="AB13" i="74"/>
  <c r="AB14" i="74"/>
  <c r="AB15" i="74"/>
  <c r="AB18" i="74"/>
  <c r="AB19" i="74"/>
  <c r="AB20" i="74"/>
  <c r="AB21" i="74"/>
  <c r="AB24" i="74"/>
  <c r="AB25" i="74"/>
  <c r="AB26" i="74"/>
  <c r="AB27" i="74"/>
  <c r="AC10" i="74"/>
  <c r="AC13" i="74" l="1"/>
  <c r="AC15" i="74"/>
  <c r="AC19" i="74"/>
  <c r="AC21" i="74"/>
  <c r="AC12" i="74"/>
  <c r="AC14" i="74"/>
  <c r="AC18" i="74"/>
  <c r="AC20" i="74"/>
  <c r="AC24" i="74"/>
  <c r="AC25" i="74"/>
  <c r="AC26" i="74"/>
  <c r="AC27" i="74"/>
  <c r="AD10" i="74"/>
  <c r="AD12" i="74" l="1"/>
  <c r="AD13" i="74"/>
  <c r="AD14" i="74"/>
  <c r="AD15" i="74"/>
  <c r="AD18" i="74"/>
  <c r="AD19" i="74"/>
  <c r="AD20" i="74"/>
  <c r="AD21" i="74"/>
  <c r="AD24" i="74"/>
  <c r="AD25" i="74"/>
  <c r="AD26" i="74"/>
  <c r="AD27" i="74"/>
  <c r="AE10" i="74"/>
  <c r="AE12" i="74" l="1"/>
  <c r="AE14" i="74"/>
  <c r="AE18" i="74"/>
  <c r="AE20" i="74"/>
  <c r="AE13" i="74"/>
  <c r="AE15" i="74"/>
  <c r="AE19" i="74"/>
  <c r="AE21" i="74"/>
  <c r="AE24" i="74"/>
  <c r="AE25" i="74"/>
  <c r="AE26" i="74"/>
  <c r="AE27" i="74"/>
  <c r="AF10" i="74"/>
  <c r="AF12" i="74" l="1"/>
  <c r="AF13" i="74"/>
  <c r="AF14" i="74"/>
  <c r="AF15" i="74"/>
  <c r="AF18" i="74"/>
  <c r="AF19" i="74"/>
  <c r="AF20" i="74"/>
  <c r="AF21" i="74"/>
  <c r="AF24" i="74"/>
  <c r="AF25" i="74"/>
  <c r="AF26" i="74"/>
  <c r="AF27" i="74"/>
  <c r="AG10" i="74"/>
  <c r="AG13" i="74" l="1"/>
  <c r="AG15" i="74"/>
  <c r="AG19" i="74"/>
  <c r="AG21" i="74"/>
  <c r="AG12" i="74"/>
  <c r="AG14" i="74"/>
  <c r="AG18" i="74"/>
  <c r="AG20" i="74"/>
  <c r="AG24" i="74"/>
  <c r="AG25" i="74"/>
  <c r="AG26" i="74"/>
  <c r="AG27" i="74"/>
  <c r="AH10" i="74"/>
  <c r="AH12" i="74" l="1"/>
  <c r="AH13" i="74"/>
  <c r="AH14" i="74"/>
  <c r="AH15" i="74"/>
  <c r="AH18" i="74"/>
  <c r="AH19" i="74"/>
  <c r="AH20" i="74"/>
  <c r="AH21" i="74"/>
  <c r="AH24" i="74"/>
  <c r="AH25" i="74"/>
  <c r="AH26" i="74"/>
  <c r="AH27" i="74"/>
  <c r="AI10" i="74"/>
  <c r="AI12" i="74" l="1"/>
  <c r="AI14" i="74"/>
  <c r="AI18" i="74"/>
  <c r="AI20" i="74"/>
  <c r="AI13" i="74"/>
  <c r="AI15" i="74"/>
  <c r="AI19" i="74"/>
  <c r="AI21" i="74"/>
  <c r="AI24" i="74"/>
  <c r="AI25" i="74"/>
  <c r="AI26" i="74"/>
  <c r="AI27" i="74"/>
  <c r="L93" i="74"/>
  <c r="L94" i="74" s="1"/>
  <c r="H11" i="74"/>
  <c r="L92" i="74"/>
  <c r="H6" i="90"/>
  <c r="AB17" i="74"/>
  <c r="AE22" i="74"/>
  <c r="AB11" i="74"/>
  <c r="M23" i="74"/>
  <c r="S17" i="74"/>
  <c r="AC11" i="74"/>
  <c r="G37" i="74"/>
  <c r="M90" i="74"/>
  <c r="Q11" i="74"/>
  <c r="H90" i="74"/>
  <c r="T11" i="74"/>
  <c r="I28" i="74"/>
  <c r="J38" i="74"/>
  <c r="AE11" i="74"/>
  <c r="O22" i="74"/>
  <c r="K87" i="74"/>
  <c r="I88" i="74"/>
  <c r="F92" i="74"/>
  <c r="AF16" i="74"/>
  <c r="AC23" i="74"/>
  <c r="AG28" i="74"/>
  <c r="G80" i="74"/>
  <c r="L32" i="74"/>
  <c r="H5" i="90"/>
  <c r="G11" i="74"/>
  <c r="V16" i="74"/>
  <c r="M92" i="74"/>
  <c r="X16" i="74"/>
  <c r="O16" i="74"/>
  <c r="L82" i="74"/>
  <c r="J88" i="74"/>
  <c r="P28" i="74"/>
  <c r="M16" i="74"/>
  <c r="AC22" i="74"/>
  <c r="M86" i="74"/>
  <c r="H86" i="74"/>
  <c r="J23" i="74"/>
  <c r="I38" i="74"/>
  <c r="K5" i="90"/>
  <c r="T16" i="74"/>
  <c r="AE28" i="74"/>
  <c r="AI28" i="74"/>
  <c r="U11" i="74"/>
  <c r="K4" i="90"/>
  <c r="AI23" i="74"/>
  <c r="I23" i="74"/>
  <c r="H44" i="74"/>
  <c r="AA23" i="74"/>
  <c r="O11" i="74"/>
  <c r="U17" i="74"/>
  <c r="J11" i="74"/>
  <c r="D17" i="74"/>
  <c r="AG22" i="74"/>
  <c r="L81" i="74"/>
  <c r="F84" i="74"/>
  <c r="H37" i="74"/>
  <c r="AF11" i="74"/>
  <c r="V17" i="74"/>
  <c r="J6" i="90"/>
  <c r="I44" i="74"/>
  <c r="J87" i="74"/>
  <c r="F38" i="74"/>
  <c r="AH11" i="74"/>
  <c r="K38" i="74"/>
  <c r="D44" i="74"/>
  <c r="J44" i="74"/>
  <c r="K44" i="74"/>
  <c r="T22" i="74"/>
  <c r="E37" i="74"/>
  <c r="AA22" i="74"/>
  <c r="J49" i="74"/>
  <c r="I32" i="74"/>
  <c r="W16" i="74"/>
  <c r="G44" i="74"/>
  <c r="S28" i="74"/>
  <c r="J43" i="74"/>
  <c r="J32" i="74"/>
  <c r="F85" i="74"/>
  <c r="L84" i="74"/>
  <c r="I90" i="74"/>
  <c r="D23" i="74"/>
  <c r="K82" i="74"/>
  <c r="I17" i="74"/>
  <c r="F87" i="74"/>
  <c r="H87" i="74"/>
  <c r="M4" i="90"/>
  <c r="H43" i="74"/>
  <c r="AH17" i="74"/>
  <c r="L6" i="90"/>
  <c r="F37" i="74"/>
  <c r="J90" i="74"/>
  <c r="I80" i="74"/>
  <c r="D6" i="90"/>
  <c r="D43" i="74" s="1"/>
  <c r="K37" i="74"/>
  <c r="K89" i="74"/>
  <c r="AB23" i="74"/>
  <c r="E90" i="74"/>
  <c r="O17" i="74"/>
  <c r="F80" i="74"/>
  <c r="O28" i="74"/>
  <c r="K22" i="74"/>
  <c r="Z16" i="74"/>
  <c r="K86" i="74"/>
  <c r="E16" i="74"/>
  <c r="F86" i="74"/>
  <c r="E88" i="74"/>
  <c r="M82" i="74"/>
  <c r="M84" i="74"/>
  <c r="E82" i="74"/>
  <c r="W22" i="74"/>
  <c r="AA17" i="74"/>
  <c r="N6" i="90"/>
  <c r="E38" i="74"/>
  <c r="J17" i="74"/>
  <c r="H16" i="74"/>
  <c r="I5" i="90"/>
  <c r="W11" i="74"/>
  <c r="O5" i="90"/>
  <c r="K83" i="74"/>
  <c r="P22" i="74"/>
  <c r="U23" i="74"/>
  <c r="AH22" i="74"/>
  <c r="J86" i="74"/>
  <c r="G16" i="74"/>
  <c r="F5" i="90"/>
  <c r="Y11" i="74"/>
  <c r="L88" i="74"/>
  <c r="L83" i="74"/>
  <c r="D11" i="74"/>
  <c r="L87" i="74"/>
  <c r="L37" i="74"/>
  <c r="AD11" i="74"/>
  <c r="K81" i="74"/>
  <c r="S16" i="74"/>
  <c r="H83" i="74"/>
  <c r="K49" i="74"/>
  <c r="I84" i="74"/>
  <c r="I37" i="74"/>
  <c r="X11" i="74"/>
  <c r="AC16" i="74"/>
  <c r="F89" i="74"/>
  <c r="K85" i="74"/>
  <c r="AH16" i="74"/>
  <c r="K17" i="74"/>
  <c r="M83" i="74"/>
  <c r="R17" i="74"/>
  <c r="L43" i="74"/>
  <c r="J83" i="74"/>
  <c r="Z28" i="74"/>
  <c r="H89" i="74"/>
  <c r="E5" i="90"/>
  <c r="T17" i="74"/>
  <c r="M32" i="74"/>
  <c r="R22" i="74"/>
  <c r="H38" i="74"/>
  <c r="N5" i="90"/>
  <c r="G38" i="74"/>
  <c r="M49" i="74"/>
  <c r="H28" i="74"/>
  <c r="E83" i="74"/>
  <c r="R11" i="74"/>
  <c r="Z11" i="74"/>
  <c r="P17" i="74"/>
  <c r="L44" i="74"/>
  <c r="M5" i="90"/>
  <c r="I16" i="74"/>
  <c r="M11" i="74"/>
  <c r="AB22" i="74"/>
  <c r="L22" i="74"/>
  <c r="H4" i="90"/>
  <c r="G87" i="74"/>
  <c r="L86" i="74"/>
  <c r="L38" i="74"/>
  <c r="G86" i="74"/>
  <c r="K23" i="74"/>
  <c r="L17" i="74"/>
  <c r="AG23" i="74"/>
  <c r="Q28" i="74"/>
  <c r="R16" i="74"/>
  <c r="J89" i="74"/>
  <c r="D38" i="74"/>
  <c r="G5" i="90"/>
  <c r="J5" i="90"/>
  <c r="Q16" i="74"/>
  <c r="E32" i="74"/>
  <c r="E49" i="74"/>
  <c r="V28" i="74"/>
  <c r="J85" i="74"/>
  <c r="M89" i="74"/>
  <c r="M80" i="74"/>
  <c r="O23" i="74"/>
  <c r="AB16" i="74"/>
  <c r="AB28" i="74"/>
  <c r="AE16" i="74"/>
  <c r="G81" i="74"/>
  <c r="G6" i="90"/>
  <c r="E22" i="74"/>
  <c r="V23" i="74"/>
  <c r="M22" i="74"/>
  <c r="R23" i="74"/>
  <c r="N28" i="74"/>
  <c r="K11" i="74"/>
  <c r="M43" i="74"/>
  <c r="D32" i="74"/>
  <c r="Q17" i="74"/>
  <c r="F81" i="74"/>
  <c r="E84" i="74"/>
  <c r="AI17" i="74"/>
  <c r="AD23" i="74"/>
  <c r="I43" i="74"/>
  <c r="M38" i="74"/>
  <c r="P23" i="74"/>
  <c r="H82" i="74"/>
  <c r="V11" i="74"/>
  <c r="G92" i="74"/>
  <c r="N16" i="74"/>
  <c r="K28" i="74"/>
  <c r="Q22" i="74"/>
  <c r="H49" i="74"/>
  <c r="AH23" i="74"/>
  <c r="K88" i="74"/>
  <c r="K92" i="74"/>
  <c r="M6" i="90"/>
  <c r="N4" i="90"/>
  <c r="AG17" i="74"/>
  <c r="H32" i="74"/>
  <c r="J28" i="74"/>
  <c r="AI11" i="74"/>
  <c r="AD28" i="74"/>
  <c r="I83" i="74"/>
  <c r="F6" i="90"/>
  <c r="L90" i="74"/>
  <c r="E85" i="74"/>
  <c r="AF28" i="74"/>
  <c r="H92" i="74"/>
  <c r="N11" i="74"/>
  <c r="AC28" i="74"/>
  <c r="P5" i="90"/>
  <c r="K90" i="74"/>
  <c r="AF17" i="74"/>
  <c r="L16" i="74"/>
  <c r="G84" i="74"/>
  <c r="AH28" i="74"/>
  <c r="E87" i="74"/>
  <c r="T28" i="74"/>
  <c r="E89" i="74"/>
  <c r="F22" i="74"/>
  <c r="K43" i="74"/>
  <c r="M81" i="74"/>
  <c r="M88" i="74"/>
  <c r="E81" i="74"/>
  <c r="G32" i="74"/>
  <c r="N23" i="74"/>
  <c r="K32" i="74"/>
  <c r="G49" i="74"/>
  <c r="H17" i="74"/>
  <c r="X17" i="74"/>
  <c r="G28" i="74"/>
  <c r="J22" i="74"/>
  <c r="G90" i="74"/>
  <c r="L49" i="74"/>
  <c r="G82" i="74"/>
  <c r="P16" i="74"/>
  <c r="AE23" i="74"/>
  <c r="O4" i="90"/>
  <c r="Y16" i="74"/>
  <c r="Z17" i="74"/>
  <c r="L4" i="90"/>
  <c r="AD17" i="74"/>
  <c r="L89" i="74"/>
  <c r="L5" i="90"/>
  <c r="J80" i="74"/>
  <c r="F82" i="74"/>
  <c r="AF22" i="74"/>
  <c r="J16" i="74"/>
  <c r="Y22" i="74"/>
  <c r="M44" i="74"/>
  <c r="H22" i="74"/>
  <c r="H80" i="74"/>
  <c r="L28" i="74"/>
  <c r="E44" i="74"/>
  <c r="H88" i="74"/>
  <c r="G83" i="74"/>
  <c r="G88" i="74"/>
  <c r="D5" i="90"/>
  <c r="D49" i="74" s="1"/>
  <c r="K80" i="74"/>
  <c r="O6" i="90"/>
  <c r="I86" i="74"/>
  <c r="H23" i="74"/>
  <c r="E80" i="74"/>
  <c r="I89" i="74"/>
  <c r="H84" i="74"/>
  <c r="X28" i="74"/>
  <c r="V22" i="74"/>
  <c r="X22" i="74"/>
  <c r="R28" i="74"/>
  <c r="G17" i="74"/>
  <c r="M37" i="74"/>
  <c r="L23" i="74"/>
  <c r="W23" i="74"/>
  <c r="L85" i="74"/>
  <c r="AC17" i="74"/>
  <c r="T23" i="74"/>
  <c r="F44" i="74"/>
  <c r="X23" i="74"/>
  <c r="S11" i="74"/>
  <c r="AA16" i="74"/>
  <c r="AI22" i="74"/>
  <c r="F49" i="74"/>
  <c r="N17" i="74"/>
  <c r="K16" i="74"/>
  <c r="F28" i="74"/>
  <c r="H85" i="74"/>
  <c r="AD16" i="74"/>
  <c r="K84" i="74"/>
  <c r="I87" i="74"/>
  <c r="F4" i="90"/>
  <c r="P4" i="90"/>
  <c r="E4" i="90"/>
  <c r="F88" i="74"/>
  <c r="E11" i="74"/>
  <c r="E28" i="74"/>
  <c r="K6" i="90"/>
  <c r="Z22" i="74"/>
  <c r="I4" i="90"/>
  <c r="M17" i="74"/>
  <c r="G43" i="74"/>
  <c r="AE17" i="74"/>
  <c r="G85" i="74"/>
  <c r="J4" i="90"/>
  <c r="I85" i="74"/>
  <c r="L80" i="74"/>
  <c r="J92" i="74"/>
  <c r="Y23" i="74"/>
  <c r="D4" i="90"/>
  <c r="D37" i="74" s="1"/>
  <c r="J81" i="74"/>
  <c r="U16" i="74"/>
  <c r="AG11" i="74"/>
  <c r="L11" i="74"/>
  <c r="S22" i="74"/>
  <c r="AA11" i="74"/>
  <c r="M28" i="74"/>
  <c r="I11" i="74"/>
  <c r="I49" i="74"/>
  <c r="F90" i="74"/>
  <c r="M87" i="74"/>
  <c r="G23" i="74"/>
  <c r="AG16" i="74"/>
  <c r="J84" i="74"/>
  <c r="I6" i="90"/>
  <c r="AD22" i="74"/>
  <c r="P6" i="90"/>
  <c r="M85" i="74"/>
  <c r="U28" i="74"/>
  <c r="S23" i="74"/>
  <c r="J82" i="74"/>
  <c r="I22" i="74"/>
  <c r="E92" i="74"/>
  <c r="J37" i="74"/>
  <c r="E17" i="74"/>
  <c r="F23" i="74"/>
  <c r="F16" i="74"/>
  <c r="E43" i="74"/>
  <c r="G89" i="74"/>
  <c r="I81" i="74"/>
  <c r="G4" i="90"/>
  <c r="AI16" i="74"/>
  <c r="Z23" i="74"/>
  <c r="H81" i="74"/>
  <c r="Y28" i="74"/>
  <c r="E23" i="74"/>
  <c r="G22" i="74"/>
  <c r="I92" i="74"/>
  <c r="AF23" i="74"/>
  <c r="Y17" i="74"/>
  <c r="W28" i="74"/>
  <c r="F32" i="74"/>
  <c r="F43" i="74"/>
  <c r="AA28" i="74"/>
  <c r="F17" i="74"/>
  <c r="W17" i="74"/>
  <c r="F83" i="74"/>
  <c r="U22" i="74"/>
  <c r="I82" i="74"/>
  <c r="F11" i="74"/>
  <c r="N22" i="74"/>
  <c r="P11" i="74"/>
  <c r="E6" i="90"/>
  <c r="Q23" i="74"/>
  <c r="E86" i="74"/>
  <c r="J93" i="74"/>
  <c r="J94" i="74" s="1"/>
  <c r="G93" i="74"/>
  <c r="G94" i="74" s="1"/>
  <c r="I93" i="74"/>
  <c r="I94" i="74" s="1"/>
  <c r="H93" i="74"/>
  <c r="H94" i="74" s="1"/>
  <c r="M93" i="74"/>
  <c r="M94" i="74" s="1"/>
  <c r="K93" i="74"/>
  <c r="K94" i="74" s="1"/>
  <c r="F93" i="74"/>
  <c r="F94" i="74" s="1"/>
  <c r="D28" i="74" l="1"/>
  <c r="D22" i="74"/>
  <c r="D16" i="74"/>
</calcChain>
</file>

<file path=xl/comments1.xml><?xml version="1.0" encoding="utf-8"?>
<comments xmlns="http://schemas.openxmlformats.org/spreadsheetml/2006/main">
  <authors>
    <author>thanhntp</author>
    <author>DaoHT</author>
  </authors>
  <commentList>
    <comment ref="E2" authorId="0">
      <text>
        <r>
          <rPr>
            <sz val="8"/>
            <color indexed="81"/>
            <rFont val="Tahoma"/>
            <family val="2"/>
          </rPr>
          <t>Choose Project category</t>
        </r>
      </text>
    </comment>
    <comment ref="C3" authorId="1">
      <text>
        <r>
          <rPr>
            <sz val="10"/>
            <color indexed="81"/>
            <rFont val="Tahoma"/>
            <family val="2"/>
          </rPr>
          <t>dd-mmm-yy</t>
        </r>
      </text>
    </comment>
    <comment ref="C9" authorId="1">
      <text>
        <r>
          <rPr>
            <sz val="10"/>
            <color indexed="81"/>
            <rFont val="Tahoma"/>
            <family val="2"/>
          </rPr>
          <t xml:space="preserve">Fill the number to indicate monthly baseline day.
For example: 26 means a range from 27 of previous month to 26 of this month.
If you want a range from 1 to 28/29/30/31 of a month, just leave the cell </t>
        </r>
        <r>
          <rPr>
            <b/>
            <sz val="10"/>
            <color indexed="81"/>
            <rFont val="Tahoma"/>
            <family val="2"/>
          </rPr>
          <t>blank</t>
        </r>
        <r>
          <rPr>
            <sz val="10"/>
            <color indexed="81"/>
            <rFont val="Tahoma"/>
            <family val="2"/>
          </rPr>
          <t xml:space="preserve"> (do not fill anything or the calculation will be wrong)</t>
        </r>
      </text>
    </comment>
    <comment ref="K99" authorId="1">
      <text>
        <r>
          <rPr>
            <sz val="10"/>
            <color indexed="81"/>
            <rFont val="Tahoma"/>
            <family val="2"/>
          </rPr>
          <t>For issues detected by PCV, Issue category = Organization issue on PMS tool</t>
        </r>
      </text>
    </comment>
    <comment ref="L99" authorId="1">
      <text>
        <r>
          <rPr>
            <sz val="10"/>
            <color indexed="81"/>
            <rFont val="Tahoma"/>
            <family val="2"/>
          </rPr>
          <t>For issues detected by PCV, Detect by =
PCV</t>
        </r>
      </text>
    </comment>
  </commentList>
</comments>
</file>

<file path=xl/comments2.xml><?xml version="1.0" encoding="utf-8"?>
<comments xmlns="http://schemas.openxmlformats.org/spreadsheetml/2006/main">
  <authors>
    <author>hant</author>
    <author>huyenll</author>
  </authors>
  <commentList>
    <comment ref="I12" authorId="0">
      <text>
        <r>
          <rPr>
            <sz val="8"/>
            <color indexed="81"/>
            <rFont val="Tahoma"/>
            <family val="2"/>
          </rPr>
          <t>you could enter  Issue ID here and link to the corresponding issue in "Issue" section of "Project Summary" sheet for detail information</t>
        </r>
      </text>
    </comment>
    <comment ref="D36" authorId="1">
      <text>
        <r>
          <rPr>
            <b/>
            <sz val="8"/>
            <color indexed="81"/>
            <rFont val="Tahoma"/>
            <family val="2"/>
          </rPr>
          <t>huyenll:</t>
        </r>
        <r>
          <rPr>
            <sz val="8"/>
            <color indexed="81"/>
            <rFont val="Tahoma"/>
            <family val="2"/>
          </rPr>
          <t xml:space="preserve">
không map vi dự án của FS ko thỏa mãn CAR mức 5</t>
        </r>
      </text>
    </comment>
    <comment ref="D65" authorId="1">
      <text>
        <r>
          <rPr>
            <b/>
            <sz val="8"/>
            <color indexed="81"/>
            <rFont val="Tahoma"/>
            <family val="2"/>
          </rPr>
          <t>huyenll:</t>
        </r>
        <r>
          <rPr>
            <sz val="8"/>
            <color indexed="81"/>
            <rFont val="Tahoma"/>
            <family val="2"/>
          </rPr>
          <t xml:space="preserve">
Ko map vì các dự án của fs không thỏa mãn CAR mức 5</t>
        </r>
      </text>
    </comment>
  </commentList>
</comments>
</file>

<file path=xl/comments3.xml><?xml version="1.0" encoding="utf-8"?>
<comments xmlns="http://schemas.openxmlformats.org/spreadsheetml/2006/main">
  <authors>
    <author>hant</author>
  </authors>
  <commentList>
    <comment ref="I12" authorId="0">
      <text>
        <r>
          <rPr>
            <sz val="8"/>
            <color indexed="81"/>
            <rFont val="Tahoma"/>
            <family val="2"/>
          </rPr>
          <t>you could enter  Issue ID here and link to the corresponding issue in "Issue" section of "Project Summary" sheet for detail information</t>
        </r>
      </text>
    </comment>
  </commentList>
</comments>
</file>

<file path=xl/comments4.xml><?xml version="1.0" encoding="utf-8"?>
<comments xmlns="http://schemas.openxmlformats.org/spreadsheetml/2006/main">
  <authors>
    <author>hant</author>
  </authors>
  <commentList>
    <comment ref="I12" authorId="0">
      <text>
        <r>
          <rPr>
            <sz val="8"/>
            <color indexed="81"/>
            <rFont val="Tahoma"/>
            <family val="2"/>
          </rPr>
          <t>you could enter  Issue ID here and link to the corresponding issue in "Issue" section of "Project Summary" sheet for detail information</t>
        </r>
      </text>
    </comment>
  </commentList>
</comments>
</file>

<file path=xl/comments5.xml><?xml version="1.0" encoding="utf-8"?>
<comments xmlns="http://schemas.openxmlformats.org/spreadsheetml/2006/main">
  <authors>
    <author>hant</author>
  </authors>
  <commentList>
    <comment ref="I12" authorId="0">
      <text>
        <r>
          <rPr>
            <sz val="8"/>
            <color indexed="81"/>
            <rFont val="Tahoma"/>
            <family val="2"/>
          </rPr>
          <t>you could enter  Issue ID here and link to the corresponding issue in "Issue" section of "Project Summary" sheet for detail information</t>
        </r>
      </text>
    </comment>
  </commentList>
</comments>
</file>

<file path=xl/comments6.xml><?xml version="1.0" encoding="utf-8"?>
<comments xmlns="http://schemas.openxmlformats.org/spreadsheetml/2006/main">
  <authors>
    <author>hant</author>
    <author>huyenll</author>
  </authors>
  <commentList>
    <comment ref="I12" authorId="0">
      <text>
        <r>
          <rPr>
            <sz val="8"/>
            <color indexed="81"/>
            <rFont val="Tahoma"/>
            <family val="2"/>
          </rPr>
          <t>you could enter  Issue ID here and link to the corresponding issue in "Issue" section of "Project Summary" sheet for detail information</t>
        </r>
      </text>
    </comment>
    <comment ref="A57" authorId="1">
      <text>
        <r>
          <rPr>
            <b/>
            <sz val="8"/>
            <color indexed="81"/>
            <rFont val="Tahoma"/>
            <family val="2"/>
          </rPr>
          <t>huyenll:</t>
        </r>
        <r>
          <rPr>
            <sz val="8"/>
            <color indexed="81"/>
            <rFont val="Tahoma"/>
            <family val="2"/>
          </rPr>
          <t xml:space="preserve">
QA Acc does not check this item</t>
        </r>
      </text>
    </comment>
    <comment ref="A58" authorId="1">
      <text>
        <r>
          <rPr>
            <b/>
            <sz val="8"/>
            <color indexed="81"/>
            <rFont val="Tahoma"/>
            <family val="2"/>
          </rPr>
          <t>huyenll:</t>
        </r>
        <r>
          <rPr>
            <sz val="8"/>
            <color indexed="81"/>
            <rFont val="Tahoma"/>
            <family val="2"/>
          </rPr>
          <t xml:space="preserve">
QA Acc does not check this item</t>
        </r>
      </text>
    </comment>
    <comment ref="A59" authorId="1">
      <text>
        <r>
          <rPr>
            <b/>
            <sz val="8"/>
            <color indexed="81"/>
            <rFont val="Tahoma"/>
            <family val="2"/>
          </rPr>
          <t>huyenll:</t>
        </r>
        <r>
          <rPr>
            <sz val="8"/>
            <color indexed="81"/>
            <rFont val="Tahoma"/>
            <family val="2"/>
          </rPr>
          <t xml:space="preserve">
QA Acc does not check this item</t>
        </r>
      </text>
    </comment>
    <comment ref="A60" authorId="1">
      <text>
        <r>
          <rPr>
            <b/>
            <sz val="8"/>
            <color indexed="81"/>
            <rFont val="Tahoma"/>
            <family val="2"/>
          </rPr>
          <t>huyenll:</t>
        </r>
        <r>
          <rPr>
            <sz val="8"/>
            <color indexed="81"/>
            <rFont val="Tahoma"/>
            <family val="2"/>
          </rPr>
          <t xml:space="preserve">
QA Acc does not check this item</t>
        </r>
      </text>
    </comment>
    <comment ref="A61" authorId="1">
      <text>
        <r>
          <rPr>
            <b/>
            <sz val="8"/>
            <color indexed="81"/>
            <rFont val="Tahoma"/>
            <family val="2"/>
          </rPr>
          <t>Not included in PCV rate</t>
        </r>
        <r>
          <rPr>
            <sz val="8"/>
            <color indexed="81"/>
            <rFont val="Tahoma"/>
            <family val="2"/>
          </rPr>
          <t xml:space="preserve">
</t>
        </r>
      </text>
    </comment>
    <comment ref="A62" authorId="1">
      <text>
        <r>
          <rPr>
            <b/>
            <sz val="8"/>
            <color indexed="81"/>
            <rFont val="Tahoma"/>
            <family val="2"/>
          </rPr>
          <t>Not included in PCV rate</t>
        </r>
        <r>
          <rPr>
            <sz val="8"/>
            <color indexed="81"/>
            <rFont val="Tahoma"/>
            <family val="2"/>
          </rPr>
          <t xml:space="preserve">
</t>
        </r>
      </text>
    </comment>
    <comment ref="A63" authorId="1">
      <text>
        <r>
          <rPr>
            <b/>
            <sz val="8"/>
            <color indexed="81"/>
            <rFont val="Tahoma"/>
            <family val="2"/>
          </rPr>
          <t>Not included in PCV rate</t>
        </r>
        <r>
          <rPr>
            <sz val="8"/>
            <color indexed="81"/>
            <rFont val="Tahoma"/>
            <family val="2"/>
          </rPr>
          <t xml:space="preserve">
</t>
        </r>
      </text>
    </comment>
    <comment ref="A64" authorId="1">
      <text>
        <r>
          <rPr>
            <b/>
            <sz val="8"/>
            <color indexed="81"/>
            <rFont val="Tahoma"/>
            <family val="2"/>
          </rPr>
          <t>Not included in PCV rate</t>
        </r>
        <r>
          <rPr>
            <sz val="8"/>
            <color indexed="81"/>
            <rFont val="Tahoma"/>
            <family val="2"/>
          </rPr>
          <t xml:space="preserve">
</t>
        </r>
      </text>
    </comment>
    <comment ref="A65" authorId="1">
      <text>
        <r>
          <rPr>
            <b/>
            <sz val="8"/>
            <color indexed="81"/>
            <rFont val="Tahoma"/>
            <family val="2"/>
          </rPr>
          <t>Not included in PCV rate</t>
        </r>
        <r>
          <rPr>
            <sz val="8"/>
            <color indexed="81"/>
            <rFont val="Tahoma"/>
            <family val="2"/>
          </rPr>
          <t xml:space="preserve">
</t>
        </r>
      </text>
    </comment>
    <comment ref="A66" authorId="1">
      <text>
        <r>
          <rPr>
            <b/>
            <sz val="8"/>
            <color indexed="81"/>
            <rFont val="Tahoma"/>
            <family val="2"/>
          </rPr>
          <t>Not included in PCV rate</t>
        </r>
        <r>
          <rPr>
            <sz val="8"/>
            <color indexed="81"/>
            <rFont val="Tahoma"/>
            <family val="2"/>
          </rPr>
          <t xml:space="preserve">
</t>
        </r>
      </text>
    </comment>
    <comment ref="A67" authorId="1">
      <text>
        <r>
          <rPr>
            <b/>
            <sz val="8"/>
            <color indexed="81"/>
            <rFont val="Tahoma"/>
            <family val="2"/>
          </rPr>
          <t>Not included in PCV rate</t>
        </r>
        <r>
          <rPr>
            <sz val="8"/>
            <color indexed="81"/>
            <rFont val="Tahoma"/>
            <family val="2"/>
          </rPr>
          <t xml:space="preserve">
</t>
        </r>
      </text>
    </comment>
    <comment ref="A68" authorId="1">
      <text>
        <r>
          <rPr>
            <b/>
            <sz val="8"/>
            <color indexed="81"/>
            <rFont val="Tahoma"/>
            <family val="2"/>
          </rPr>
          <t>Not included in PCV rate</t>
        </r>
        <r>
          <rPr>
            <sz val="8"/>
            <color indexed="81"/>
            <rFont val="Tahoma"/>
            <family val="2"/>
          </rPr>
          <t xml:space="preserve">
</t>
        </r>
      </text>
    </comment>
    <comment ref="A69" authorId="1">
      <text>
        <r>
          <rPr>
            <b/>
            <sz val="8"/>
            <color indexed="81"/>
            <rFont val="Tahoma"/>
            <family val="2"/>
          </rPr>
          <t>Not included in PCV rate</t>
        </r>
        <r>
          <rPr>
            <sz val="8"/>
            <color indexed="81"/>
            <rFont val="Tahoma"/>
            <family val="2"/>
          </rPr>
          <t xml:space="preserve">
</t>
        </r>
      </text>
    </comment>
    <comment ref="A70" authorId="1">
      <text>
        <r>
          <rPr>
            <b/>
            <sz val="8"/>
            <color indexed="81"/>
            <rFont val="Tahoma"/>
            <family val="2"/>
          </rPr>
          <t>Not included in PCV rate</t>
        </r>
        <r>
          <rPr>
            <sz val="8"/>
            <color indexed="81"/>
            <rFont val="Tahoma"/>
            <family val="2"/>
          </rPr>
          <t xml:space="preserve">
</t>
        </r>
      </text>
    </comment>
    <comment ref="A71" authorId="1">
      <text>
        <r>
          <rPr>
            <b/>
            <sz val="8"/>
            <color indexed="81"/>
            <rFont val="Tahoma"/>
            <family val="2"/>
          </rPr>
          <t>Not included in PCV rate</t>
        </r>
        <r>
          <rPr>
            <sz val="8"/>
            <color indexed="81"/>
            <rFont val="Tahoma"/>
            <family val="2"/>
          </rPr>
          <t xml:space="preserve">
</t>
        </r>
      </text>
    </comment>
    <comment ref="A72" authorId="1">
      <text>
        <r>
          <rPr>
            <b/>
            <sz val="8"/>
            <color indexed="81"/>
            <rFont val="Tahoma"/>
            <family val="2"/>
          </rPr>
          <t>Not included in PCV rate</t>
        </r>
        <r>
          <rPr>
            <sz val="8"/>
            <color indexed="81"/>
            <rFont val="Tahoma"/>
            <family val="2"/>
          </rPr>
          <t xml:space="preserve">
</t>
        </r>
      </text>
    </comment>
  </commentList>
</comments>
</file>

<file path=xl/comments7.xml><?xml version="1.0" encoding="utf-8"?>
<comments xmlns="http://schemas.openxmlformats.org/spreadsheetml/2006/main">
  <authors>
    <author>honghs</author>
  </authors>
  <commentList>
    <comment ref="E10" authorId="0">
      <text>
        <r>
          <rPr>
            <sz val="9"/>
            <color indexed="81"/>
            <rFont val="Tahoma"/>
            <family val="2"/>
          </rPr>
          <t>QAMNGs do not approve deviation to skip updating task list daily</t>
        </r>
      </text>
    </comment>
  </commentList>
</comments>
</file>

<file path=xl/sharedStrings.xml><?xml version="1.0" encoding="utf-8"?>
<sst xmlns="http://schemas.openxmlformats.org/spreadsheetml/2006/main" count="2294" uniqueCount="1097">
  <si>
    <t xml:space="preserve">1. Process_Software Project Management
2. Guideline_Software Project Management Procedure.
</t>
  </si>
  <si>
    <t>W48</t>
  </si>
  <si>
    <t>W49</t>
  </si>
  <si>
    <t xml:space="preserve">What is next task? </t>
  </si>
  <si>
    <t>W50</t>
  </si>
  <si>
    <t>Evaluation</t>
  </si>
  <si>
    <t>1. Guideline_Software Project Management Procedure
2. Information required:  issue description, action plan: deadline &amp; PIC and status.</t>
  </si>
  <si>
    <t xml:space="preserve">Are Project Reports submitted to customer &amp; Senior Manager &amp; relevant people on-time as committed?
</t>
  </si>
  <si>
    <t>Are Products reviewed by right persons as per defined in project review plan?</t>
  </si>
  <si>
    <t>Is Review method  correctly  implemented as defined in project review plan? (review with tools, checklist,..)</t>
  </si>
  <si>
    <t>Testing</t>
  </si>
  <si>
    <t>It is required that each task is in charged by one person only</t>
  </si>
  <si>
    <t>W34</t>
  </si>
  <si>
    <t>W35</t>
  </si>
  <si>
    <t>M6</t>
  </si>
  <si>
    <t>Is approval or rejection on the changes made by Change Control Board?</t>
  </si>
  <si>
    <t>Are impacts, decisions and plans of the changes communicated to the requestor and all the relevant stakeholders?</t>
  </si>
  <si>
    <t>Check in CM report\ Change Control report sheet
Ex: There is a CR. SRS must be upgraded to v1.1. Possibly the version of Design, TC can be upgraded too.</t>
  </si>
  <si>
    <t>Standard/Templates/Tools used?</t>
  </si>
  <si>
    <t>Internal/External Estimation</t>
  </si>
  <si>
    <t>Issues</t>
  </si>
  <si>
    <t>C8</t>
  </si>
  <si>
    <t>Risks</t>
  </si>
  <si>
    <t>Lesson/Practice</t>
  </si>
  <si>
    <t>Tailoring</t>
  </si>
  <si>
    <t>WO</t>
  </si>
  <si>
    <t>Refer to sheet Regulations in Template_Project Point</t>
  </si>
  <si>
    <t xml:space="preserve">PP </t>
  </si>
  <si>
    <t>AN</t>
  </si>
  <si>
    <t>C51</t>
  </si>
  <si>
    <t>Data Accuracy</t>
  </si>
  <si>
    <t>Customer Complaint</t>
  </si>
  <si>
    <t>Baseline date of monthly</t>
  </si>
  <si>
    <t>PC Rate by SM involvement</t>
  </si>
  <si>
    <t>Monthly baseline PC Rate</t>
  </si>
  <si>
    <t>Weekly baseline PC Rate</t>
  </si>
  <si>
    <t>Observation</t>
  </si>
  <si>
    <t>Do not fill up the cells with GREY color</t>
  </si>
  <si>
    <t xml:space="preserve">Project QA uses "blank" sign for marking the items that QA has not yet reviewed and assessed at the checking point of time. At the baseline point of time, the result will not has "blank" anymore.
</t>
  </si>
  <si>
    <t>Are the physical assets placed into a physically secure storage area as CM plan defined?</t>
  </si>
  <si>
    <t>Project dependencies could be from customer, other projects, suppliers, sub-contractors, FSOFT BA groups, etc.
Check with Estimation, Proposal, Statement of Work, Contract, Purchase Order, External Order, Project Requirement Specification, email, meeting minutes, and interview PM, etc</t>
  </si>
  <si>
    <t>Skill and knowledge to perform their task?</t>
  </si>
  <si>
    <t>Source code control environment, project directory structure, naming convention and change control procedure?</t>
  </si>
  <si>
    <t>Process_Prevention</t>
  </si>
  <si>
    <t>Result of Requirement Analysis/understanding</t>
  </si>
  <si>
    <t>ADD</t>
  </si>
  <si>
    <t>Design sample &gt;= 10% of design size</t>
  </si>
  <si>
    <t>Test Case sample</t>
  </si>
  <si>
    <t>Source Code sample &gt;= 10% of source code size</t>
  </si>
  <si>
    <t>CM Plan</t>
  </si>
  <si>
    <t xml:space="preserve">Installation Guide/ User Manual </t>
  </si>
  <si>
    <t>Has CI Identification been correctly updated?</t>
  </si>
  <si>
    <t>Do you use Kazoe-Ciao or Bluestep LOC counter tool to count LOC ? If not, is usage of the tool defined as a tailoring and accepted by QA Manager?</t>
  </si>
  <si>
    <t>Lesson/practices are mandatorily required for out of specification limit project QPPO, and customer complaint, CSS&lt;60 point or Fatal defects</t>
  </si>
  <si>
    <t>Reuse LOC?</t>
  </si>
  <si>
    <t>Mother body?</t>
  </si>
  <si>
    <t>Generated LOC?</t>
  </si>
  <si>
    <t>V 1.0</t>
  </si>
  <si>
    <t>V x.y</t>
  </si>
  <si>
    <t>V a.b</t>
  </si>
  <si>
    <t>1st</t>
  </si>
  <si>
    <t>2nd</t>
  </si>
  <si>
    <t>Are project dependencies identified? Are commitments to address each critical dependency reviewed and obtained confirmation with responsible persons?</t>
  </si>
  <si>
    <t>PC Rate</t>
  </si>
  <si>
    <t>100 - Fully Implemented</t>
  </si>
  <si>
    <t>Process Compliance Rate by PA and Month</t>
  </si>
  <si>
    <t>Cosmetic</t>
  </si>
  <si>
    <t>Report PCV Result</t>
  </si>
  <si>
    <t>Perform CAR on PCV</t>
  </si>
  <si>
    <t>P4</t>
  </si>
  <si>
    <t>W29</t>
  </si>
  <si>
    <t>W30</t>
  </si>
  <si>
    <t>P5</t>
  </si>
  <si>
    <t>P7</t>
  </si>
  <si>
    <t>P8</t>
  </si>
  <si>
    <t>P9</t>
  </si>
  <si>
    <t>P10</t>
  </si>
  <si>
    <t>P11</t>
  </si>
  <si>
    <t>P12</t>
  </si>
  <si>
    <t>P13</t>
  </si>
  <si>
    <t>P14</t>
  </si>
  <si>
    <t>P15</t>
  </si>
  <si>
    <t>P16</t>
  </si>
  <si>
    <t>P17</t>
  </si>
  <si>
    <t>P18</t>
  </si>
  <si>
    <t>P19</t>
  </si>
  <si>
    <t>P20</t>
  </si>
  <si>
    <t>P23</t>
  </si>
  <si>
    <t>P24</t>
  </si>
  <si>
    <t>P25</t>
  </si>
  <si>
    <t>P27</t>
  </si>
  <si>
    <t>P28</t>
  </si>
  <si>
    <t>P29</t>
  </si>
  <si>
    <t>P30</t>
  </si>
  <si>
    <t>P31</t>
  </si>
  <si>
    <t>P32</t>
  </si>
  <si>
    <t>P33</t>
  </si>
  <si>
    <t>P34</t>
  </si>
  <si>
    <t>P35</t>
  </si>
  <si>
    <t>P36</t>
  </si>
  <si>
    <t>P37</t>
  </si>
  <si>
    <t>P39</t>
  </si>
  <si>
    <t>P40</t>
  </si>
  <si>
    <t>P41</t>
  </si>
  <si>
    <t>P42</t>
  </si>
  <si>
    <t>P43</t>
  </si>
  <si>
    <t>P45</t>
  </si>
  <si>
    <t>P46</t>
  </si>
  <si>
    <t>P47</t>
  </si>
  <si>
    <t>P48</t>
  </si>
  <si>
    <t>P49</t>
  </si>
  <si>
    <t>P50</t>
  </si>
  <si>
    <t>P52</t>
  </si>
  <si>
    <t>P53</t>
  </si>
  <si>
    <t>P54</t>
  </si>
  <si>
    <t>P55</t>
  </si>
  <si>
    <t>P56</t>
  </si>
  <si>
    <t>P57</t>
  </si>
  <si>
    <t>P58</t>
  </si>
  <si>
    <t>P59</t>
  </si>
  <si>
    <t>P60</t>
  </si>
  <si>
    <t>P61</t>
  </si>
  <si>
    <t>P62</t>
  </si>
  <si>
    <t>P64</t>
  </si>
  <si>
    <t>P65</t>
  </si>
  <si>
    <t>P66</t>
  </si>
  <si>
    <t>ID</t>
  </si>
  <si>
    <t>W1</t>
  </si>
  <si>
    <t>W2</t>
  </si>
  <si>
    <t>W3</t>
  </si>
  <si>
    <t>W4</t>
  </si>
  <si>
    <t>W5</t>
  </si>
  <si>
    <t>W6</t>
  </si>
  <si>
    <t>W7</t>
  </si>
  <si>
    <t>W10</t>
  </si>
  <si>
    <t>W11</t>
  </si>
  <si>
    <t>W12</t>
  </si>
  <si>
    <t>W13</t>
  </si>
  <si>
    <t>W14</t>
  </si>
  <si>
    <t>W15</t>
  </si>
  <si>
    <t>W16</t>
  </si>
  <si>
    <t>W17</t>
  </si>
  <si>
    <t>W18</t>
  </si>
  <si>
    <t>W19</t>
  </si>
  <si>
    <t>W20</t>
  </si>
  <si>
    <t>W21</t>
  </si>
  <si>
    <t>W22</t>
  </si>
  <si>
    <t>W23</t>
  </si>
  <si>
    <t>W24</t>
  </si>
  <si>
    <t>W25</t>
  </si>
  <si>
    <t>W26</t>
  </si>
  <si>
    <t>W27</t>
  </si>
  <si>
    <t>W28</t>
  </si>
  <si>
    <t>M1</t>
  </si>
  <si>
    <t>M2</t>
  </si>
  <si>
    <t>M3</t>
  </si>
  <si>
    <t>M4</t>
  </si>
  <si>
    <t>M5</t>
  </si>
  <si>
    <t>M7</t>
  </si>
  <si>
    <t>M8</t>
  </si>
  <si>
    <t>M9</t>
  </si>
  <si>
    <t>M10</t>
  </si>
  <si>
    <t>M11</t>
  </si>
  <si>
    <t>M12</t>
  </si>
  <si>
    <t>M13</t>
  </si>
  <si>
    <t>M14</t>
  </si>
  <si>
    <t>M15</t>
  </si>
  <si>
    <t>M16</t>
  </si>
  <si>
    <t>M17</t>
  </si>
  <si>
    <t>M18</t>
  </si>
  <si>
    <t>M19</t>
  </si>
  <si>
    <t>M20</t>
  </si>
  <si>
    <t>M21</t>
  </si>
  <si>
    <t>M22</t>
  </si>
  <si>
    <t>M23</t>
  </si>
  <si>
    <t>M24</t>
  </si>
  <si>
    <t>M25</t>
  </si>
  <si>
    <t>B1</t>
  </si>
  <si>
    <t>B2</t>
  </si>
  <si>
    <t>B3</t>
  </si>
  <si>
    <t>B4</t>
  </si>
  <si>
    <t>B5</t>
  </si>
  <si>
    <t>B6</t>
  </si>
  <si>
    <t>B7</t>
  </si>
  <si>
    <t>B8</t>
  </si>
  <si>
    <t>B9</t>
  </si>
  <si>
    <t>B10</t>
  </si>
  <si>
    <t>B11</t>
  </si>
  <si>
    <t>B12</t>
  </si>
  <si>
    <t>B13</t>
  </si>
  <si>
    <t>B14</t>
  </si>
  <si>
    <t>B15</t>
  </si>
  <si>
    <t>B16</t>
  </si>
  <si>
    <t>B18</t>
  </si>
  <si>
    <t>B20</t>
  </si>
  <si>
    <t>B21</t>
  </si>
  <si>
    <t>B22</t>
  </si>
  <si>
    <t>B23</t>
  </si>
  <si>
    <t>B24</t>
  </si>
  <si>
    <t>B25</t>
  </si>
  <si>
    <t>B27</t>
  </si>
  <si>
    <t>B29</t>
  </si>
  <si>
    <t>Ensure the actual structure is consistent with Directory structure as defined in CM plan</t>
  </si>
  <si>
    <t>C1</t>
  </si>
  <si>
    <t>C2</t>
  </si>
  <si>
    <t>C3</t>
  </si>
  <si>
    <t>C4</t>
  </si>
  <si>
    <t>C5</t>
  </si>
  <si>
    <t>C6</t>
  </si>
  <si>
    <t>C7</t>
  </si>
  <si>
    <t>C9</t>
  </si>
  <si>
    <t>C10</t>
  </si>
  <si>
    <t>C11</t>
  </si>
  <si>
    <t>C12</t>
  </si>
  <si>
    <t>C13</t>
  </si>
  <si>
    <t>C14</t>
  </si>
  <si>
    <t>C15</t>
  </si>
  <si>
    <t>C17</t>
  </si>
  <si>
    <t>C18</t>
  </si>
  <si>
    <t>C19</t>
  </si>
  <si>
    <t>C20</t>
  </si>
  <si>
    <t>C21</t>
  </si>
  <si>
    <t>C23</t>
  </si>
  <si>
    <t>C24</t>
  </si>
  <si>
    <t>C25</t>
  </si>
  <si>
    <t>C26</t>
  </si>
  <si>
    <t>C27</t>
  </si>
  <si>
    <t>C28</t>
  </si>
  <si>
    <t>C29</t>
  </si>
  <si>
    <t>C30</t>
  </si>
  <si>
    <t>C31</t>
  </si>
  <si>
    <t>C32</t>
  </si>
  <si>
    <t>C33</t>
  </si>
  <si>
    <t>C34</t>
  </si>
  <si>
    <t>C35</t>
  </si>
  <si>
    <t>C36</t>
  </si>
  <si>
    <t>C37</t>
  </si>
  <si>
    <t>C38</t>
  </si>
  <si>
    <t>C40</t>
  </si>
  <si>
    <t>C41</t>
  </si>
  <si>
    <t>C43</t>
  </si>
  <si>
    <t>C44</t>
  </si>
  <si>
    <t>C45</t>
  </si>
  <si>
    <t>C46</t>
  </si>
  <si>
    <t>C47</t>
  </si>
  <si>
    <t>C48</t>
  </si>
  <si>
    <t>C49</t>
  </si>
  <si>
    <t>C50</t>
  </si>
  <si>
    <t>C52</t>
  </si>
  <si>
    <t>C53</t>
  </si>
  <si>
    <t>C54</t>
  </si>
  <si>
    <t>4th</t>
  </si>
  <si>
    <t>- Lack of qualified members to solve the technical issue of project, 
- Customer complains about product quality, communication
- Non-conform the process
- Lack of environment to execute testing so that don't ensure the quality of source code
- Issue related to customer, budget, policy...</t>
  </si>
  <si>
    <t>P68</t>
  </si>
  <si>
    <t>Is project information on FI up-to-date?</t>
  </si>
  <si>
    <t>Corrective Action</t>
  </si>
  <si>
    <t>Guideline_Timesheet
Guideline_Timesheet Procedure</t>
  </si>
  <si>
    <t>Is Project Milestone Report completed on-time in accordance with the defined procedure?</t>
  </si>
  <si>
    <t>Issue &amp; resolution is required for 1) items = 0 or 50; 2) PAs those have PC rate &lt; 90%</t>
  </si>
  <si>
    <t>CAR report &amp; action plan to solve customer complaints.</t>
  </si>
  <si>
    <t>W33</t>
  </si>
  <si>
    <t>Is Milestone Review Meeting conducted on-time?</t>
  </si>
  <si>
    <t>When PM is assigned to project, does SM conduct face-to-face meeting with PM to transfer project information and confirm PM understanding of project scope, requirements, assumptions, customer responsibility, deliverables and any non-standard terms agreed upon with the customer?</t>
  </si>
  <si>
    <t>P69</t>
  </si>
  <si>
    <t>Does SM share with PM project related documents?</t>
  </si>
  <si>
    <t>Process Compliance Verification Checklist</t>
  </si>
  <si>
    <t>ISSUE &amp; RESOLUTION</t>
  </si>
  <si>
    <t>Observation
(mandatory for items = 0 &amp; 50)</t>
  </si>
  <si>
    <t>Check the name of baselined document files is consistent with the naming convention in CM report\Sheet CI Identification</t>
  </si>
  <si>
    <t>Normally, a document has "Record of Changes" or "History of Changes" page. The information is required especially for the doc with v1.0 up</t>
  </si>
  <si>
    <t>Check in CM report\ CI Identification sheet</t>
  </si>
  <si>
    <t>Refer to CM Process, Section 3 for more</t>
  </si>
  <si>
    <t>Normally, they are managed, kept in a locked cabinet</t>
  </si>
  <si>
    <t>Are Customer’s name and secondary customer's name correct?</t>
  </si>
  <si>
    <t>Is effort for Process and Stage recorded properly?</t>
  </si>
  <si>
    <t>Are the Blank and Comment LOC excluded?</t>
  </si>
  <si>
    <t>Is Wrap-up baseline done properly? Is the completion confirmed by QA?</t>
  </si>
  <si>
    <t>Group:</t>
  </si>
  <si>
    <t>Customer:</t>
  </si>
  <si>
    <t>Baseline 1</t>
  </si>
  <si>
    <t>Baseline 2</t>
  </si>
  <si>
    <t>Size</t>
  </si>
  <si>
    <t>Effort</t>
  </si>
  <si>
    <t>PP</t>
  </si>
  <si>
    <t>PMC</t>
  </si>
  <si>
    <t>CM</t>
  </si>
  <si>
    <t>VER</t>
  </si>
  <si>
    <t>Process Area</t>
  </si>
  <si>
    <t>Result</t>
  </si>
  <si>
    <t>RM</t>
  </si>
  <si>
    <t>Configuration Management</t>
  </si>
  <si>
    <t>SUMMARY REPORT</t>
  </si>
  <si>
    <t>Risk Management</t>
  </si>
  <si>
    <t>Check Item</t>
  </si>
  <si>
    <t>0 - Not Implemented</t>
  </si>
  <si>
    <t>N/A - Not applicable</t>
  </si>
  <si>
    <t>I. Purpose</t>
  </si>
  <si>
    <t>Project Planning</t>
  </si>
  <si>
    <t>Category</t>
  </si>
  <si>
    <t>Sub-Category</t>
  </si>
  <si>
    <t>Project Plan</t>
  </si>
  <si>
    <t>Guideline_Review Procedure</t>
  </si>
  <si>
    <t>Check with Estimation, Proposal, Statement of Work, Contract, Purchase Order, External Order, Project Requirement Specification, email, meeting minutes, and interview PM, etc</t>
  </si>
  <si>
    <t>Process Management</t>
  </si>
  <si>
    <t>HR Management</t>
  </si>
  <si>
    <t>Stakeholder Management</t>
  </si>
  <si>
    <t>Schedule Management</t>
  </si>
  <si>
    <t>Translation</t>
  </si>
  <si>
    <t>Customer supplied products</t>
  </si>
  <si>
    <t>Requirement documents</t>
  </si>
  <si>
    <t>Design documents</t>
  </si>
  <si>
    <t>Source code</t>
  </si>
  <si>
    <t>User &amp; Installation manual</t>
  </si>
  <si>
    <t>Is source code change control procedure specified clearly?</t>
  </si>
  <si>
    <t>Tool, original source code, Req, ….</t>
  </si>
  <si>
    <t>&lt;Insert row above&gt;</t>
  </si>
  <si>
    <t>Average</t>
  </si>
  <si>
    <t>Is the project schedule group-reviewed and approved by the people as defined by FSOFT RADIO?</t>
  </si>
  <si>
    <t>Is Project Kick-Off Meeting conducted in accordance with the defined procedure on a timely manner?</t>
  </si>
  <si>
    <t>Issue Category</t>
  </si>
  <si>
    <t>Detected by</t>
  </si>
  <si>
    <t>Guideline_Software Project Management Procedure</t>
  </si>
  <si>
    <t>Requirement Analysis</t>
  </si>
  <si>
    <t>Are project acceptance criteria transferred to project team?</t>
  </si>
  <si>
    <t>Requirement Tracking</t>
  </si>
  <si>
    <t xml:space="preserve">Is Requirement Traceability Matrix maintained &amp; used to verify completeness of requirements? </t>
  </si>
  <si>
    <t>Change Management</t>
  </si>
  <si>
    <t>When changes to requirement come</t>
  </si>
  <si>
    <t>Is Impact Analysis performed to assess impact on Solution, Scope, Effort, Resources, Schedule, and Risk?</t>
  </si>
  <si>
    <t>Is project schedule, effort adjusted to implement the change?</t>
  </si>
  <si>
    <t>Task Management</t>
  </si>
  <si>
    <t>Issue Management</t>
  </si>
  <si>
    <t>Milestone Review</t>
  </si>
  <si>
    <t>Senior Management Involvement</t>
  </si>
  <si>
    <t>Does SM/OM periodically conduct operation review meeting to review project status in accordance with the defined procedure?</t>
  </si>
  <si>
    <t>Prevention</t>
  </si>
  <si>
    <t xml:space="preserve">Standard SLA: response time is 24 hours
</t>
  </si>
  <si>
    <t>Interaction of SM/OM with customer could be: 
1. Join project progress review meeting with customer 
2. Join operation review meeting with customer.
3. Be PIC of CAR Report and Improvement Plan when interacting with customer</t>
  </si>
  <si>
    <t>Review</t>
  </si>
  <si>
    <t>Is Group-Review meeting conducted for the following work products</t>
  </si>
  <si>
    <t>Item</t>
  </si>
  <si>
    <t>QA</t>
  </si>
  <si>
    <t>Weekly</t>
  </si>
  <si>
    <t>Reference/Guideline</t>
  </si>
  <si>
    <t xml:space="preserve">Is project information recorded on FI?  Is it consistent with the information documented in project inputs?
</t>
  </si>
  <si>
    <t>Schedule management</t>
  </si>
  <si>
    <t>Is Requirement status tracked and updated in RM Sheet?</t>
  </si>
  <si>
    <t>1. Evidence/record is completed and maintained in the defined repository
2. The activities implemented fully in accordance with the defined procedure</t>
  </si>
  <si>
    <t>Section</t>
  </si>
  <si>
    <t>Monthly</t>
  </si>
  <si>
    <t>Application Criteria</t>
  </si>
  <si>
    <t>SM</t>
  </si>
  <si>
    <t>PM</t>
  </si>
  <si>
    <t>Process Compliance Rate</t>
  </si>
  <si>
    <t>Project Code:</t>
  </si>
  <si>
    <t>SM:</t>
  </si>
  <si>
    <t>PM:</t>
  </si>
  <si>
    <t>QA:</t>
  </si>
  <si>
    <t>Planning</t>
  </si>
  <si>
    <t>Baseline</t>
  </si>
  <si>
    <t>Closing</t>
  </si>
  <si>
    <t>Step 5</t>
  </si>
  <si>
    <t>Proposal / External WO</t>
  </si>
  <si>
    <t>Internal WO</t>
  </si>
  <si>
    <t>Schedule</t>
  </si>
  <si>
    <t>Requirement Specifications</t>
  </si>
  <si>
    <t xml:space="preserve">Have CIs been reviewed and approved appropriately before baselined? </t>
  </si>
  <si>
    <t>Is record of changes to CIs defined clearly?</t>
  </si>
  <si>
    <t>1. Evidence/record is not completed fully 
2. The activities are partially implemented in accordance with the defined procedure
-&gt; Specify observation/findings in "Observation" column  or "Issue" section in "Project Summary" sheet is required</t>
  </si>
  <si>
    <t>Check review records (mail, filled-up checklists, …)</t>
  </si>
  <si>
    <t>Project Management</t>
  </si>
  <si>
    <t>P26</t>
  </si>
  <si>
    <t>W31</t>
  </si>
  <si>
    <t>Process_Deployment</t>
  </si>
  <si>
    <t>W32</t>
  </si>
  <si>
    <t>Training for team members who are not capable and experienced with Business Domain, Tools, Technologies, Process</t>
  </si>
  <si>
    <t>Check if actual development environment, test environment is set up as per customer required environments/production or deployment environment. 
If there is a gap, it must be confirmed with and obtained agreement of customer. Otherwise, it is issue</t>
  </si>
  <si>
    <t>Check the information (file name, version, …) in baseline report is consistent with the CIs which are on Archive folder</t>
  </si>
  <si>
    <t>Quality</t>
  </si>
  <si>
    <t>Post-mortem Report</t>
  </si>
  <si>
    <t>M&amp;A</t>
  </si>
  <si>
    <t>PROJECT PLANNING REVIEW</t>
  </si>
  <si>
    <t>WEEKLY PROCESS COMPLIANCE REVIEW</t>
  </si>
  <si>
    <t>BASELINE REVIEW</t>
  </si>
  <si>
    <t>PROJECT CLOSURE VERIFICATION</t>
  </si>
  <si>
    <t>MONTHLY PROCESS COMPLIANCE REVIEW</t>
  </si>
  <si>
    <t xml:space="preserve"> PROCESS COMPLIANCE RATE BY PA</t>
  </si>
  <si>
    <t>II. Workflow</t>
  </si>
  <si>
    <t>Step 1</t>
  </si>
  <si>
    <t>Orient Process Compliance Standards &amp; Requirement</t>
  </si>
  <si>
    <t>a)</t>
  </si>
  <si>
    <t>b)</t>
  </si>
  <si>
    <t>Step 4</t>
  </si>
  <si>
    <t>Confirm PCV Result</t>
  </si>
  <si>
    <t>Follow up</t>
  </si>
  <si>
    <t>Step 6</t>
  </si>
  <si>
    <t>Step 7</t>
  </si>
  <si>
    <t>On a quarterly basic, QA.HO organizes CAR on process compliance result at FSOFT level, identifies resolution and tracks to closure.</t>
  </si>
  <si>
    <t>III. Procedure</t>
  </si>
  <si>
    <t>- To evaluate discipline of SMs and PMs</t>
  </si>
  <si>
    <t>- To identify process improvement opportunities</t>
  </si>
  <si>
    <t>Project Start date:</t>
  </si>
  <si>
    <t>Project Specific</t>
  </si>
  <si>
    <t>Process Compliance Rate by PA</t>
  </si>
  <si>
    <t>Average Result</t>
  </si>
  <si>
    <t>Timesheet</t>
  </si>
  <si>
    <t>DMS</t>
  </si>
  <si>
    <t>#</t>
  </si>
  <si>
    <t>Created Date</t>
  </si>
  <si>
    <t>Description</t>
  </si>
  <si>
    <t>Impact</t>
  </si>
  <si>
    <t>Severity</t>
  </si>
  <si>
    <t>Owner</t>
  </si>
  <si>
    <t>Status</t>
  </si>
  <si>
    <t>Closure Deadline</t>
  </si>
  <si>
    <t>Closure Date</t>
  </si>
  <si>
    <t>Note</t>
  </si>
  <si>
    <t>Example</t>
  </si>
  <si>
    <t>Discipline</t>
  </si>
  <si>
    <t>Environment</t>
  </si>
  <si>
    <t>Serious</t>
  </si>
  <si>
    <t>- Serious impacts on project's progress or project's completion, customer satisfaction, quality of project, very short deadline to complete fixing…
- Duration to complete solving issue within 1 week</t>
  </si>
  <si>
    <t>Medium</t>
  </si>
  <si>
    <t>- Impact on one stage of project without affecting project's completion, impact on quality of one product, deadline is not constraint in short time…
- Duration to complete solving issue is about 1 to 2 weeks</t>
  </si>
  <si>
    <t xml:space="preserve">- Lack of human resource in a short period
- The team discipline is not good
- Managing Staffs of PM is not strict so that can not check work result 
- Resource Allocation for projects is not proper
</t>
  </si>
  <si>
    <t>- Low impact on project, or can be resolved easily, or issue's impacts are not reflected at the present…
- Duration to complete solving issue is usually &gt; 2 weeks or project can solve immediately.</t>
  </si>
  <si>
    <t xml:space="preserve">- Low quality in one module of source code, one part of documents...
- Issues may be impact in the future if they are not solved at present (risk)
</t>
  </si>
  <si>
    <t>Issue Severity</t>
  </si>
  <si>
    <t>Start-up</t>
  </si>
  <si>
    <t>Wrap-up</t>
  </si>
  <si>
    <t>Guideline_Review Procedure
FSOFT RADIO</t>
  </si>
  <si>
    <t>1. Process_Software Project Management
2. Guideline_Software Project Management Procedure</t>
  </si>
  <si>
    <t>Project's PC Rate</t>
  </si>
  <si>
    <t>PC Rate by SM Involvement</t>
  </si>
  <si>
    <t>PM's PC Rate</t>
  </si>
  <si>
    <t>Baseline Date of Check result</t>
  </si>
  <si>
    <t xml:space="preserve">- Effective verification methods of requirement understanding are: 
1. Write down requirement understanding to get verification &amp; confirmation
2. Present requirement understanding with verifiers before implementation
3. Frequency of task result review is short during implementation to minimize risk of requirement miss-understanding </t>
  </si>
  <si>
    <t>Are baseline criteria specified for Project baselines and CI Baselines in CM Plan?</t>
  </si>
  <si>
    <t>P70</t>
  </si>
  <si>
    <t>Check against review records</t>
  </si>
  <si>
    <t>Are commitments (with their due date) to address each project critical dependency defined in Project Schedule for tracking?</t>
  </si>
  <si>
    <t>1. No evidence/record is maintained
2. The activities are not implemented in accordance with the defined procedure
-&gt; Specify observation/findings in "Observation column or "Issue" section in "Project Summary" sheet is required</t>
  </si>
  <si>
    <t>(this checklist is used by both Project QA and QA.Accounting).</t>
  </si>
  <si>
    <t>C55</t>
  </si>
  <si>
    <t>C56</t>
  </si>
  <si>
    <t>- To measure process compliance status of FSOFT software projects with their defined standards, requirements and processes</t>
  </si>
  <si>
    <t>For more detail about Project QA lead pls. refer to Job_Fsoft RADIO for Project</t>
  </si>
  <si>
    <t>Step 2</t>
  </si>
  <si>
    <t>Customize Process Compliance Checklist</t>
  </si>
  <si>
    <t>Step 3</t>
  </si>
  <si>
    <t>Conduct Process Compliance Verification (PCV)</t>
  </si>
  <si>
    <t>Time for project QA submitting baselined PCV Result</t>
  </si>
  <si>
    <t>50 - Partially Implemented</t>
  </si>
  <si>
    <t>Requirement Management</t>
  </si>
  <si>
    <t>DP actions</t>
  </si>
  <si>
    <t xml:space="preserve"> Study</t>
  </si>
  <si>
    <t xml:space="preserve"> Create</t>
  </si>
  <si>
    <t xml:space="preserve">Test (UT/ IT/ ST) </t>
  </si>
  <si>
    <t>Correct (fix bug)</t>
  </si>
  <si>
    <t>Project Baselines, Backup and activities related CI change control…</t>
  </si>
  <si>
    <t>P74</t>
  </si>
  <si>
    <t xml:space="preserve">Quality activities </t>
  </si>
  <si>
    <t>Final inspection, baseline audit , quality gate, internal audit…</t>
  </si>
  <si>
    <t>P51</t>
  </si>
  <si>
    <t>URD/SRS…</t>
  </si>
  <si>
    <t>ADD/HLD/DD…</t>
  </si>
  <si>
    <t xml:space="preserve">Test documents </t>
  </si>
  <si>
    <t>Is CI naming convention defined and communicated with project team and relevant persons?</t>
  </si>
  <si>
    <t>P71</t>
  </si>
  <si>
    <t>P72</t>
  </si>
  <si>
    <t>P73</t>
  </si>
  <si>
    <t>WEEK DD.MMM-DD.MMM</t>
  </si>
  <si>
    <t>&lt;Insert column before&gt;</t>
  </si>
  <si>
    <t>W36</t>
  </si>
  <si>
    <t>Creating</t>
  </si>
  <si>
    <t>W37</t>
  </si>
  <si>
    <t>W38</t>
  </si>
  <si>
    <t>W39</t>
  </si>
  <si>
    <t>W40</t>
  </si>
  <si>
    <t>Tracking</t>
  </si>
  <si>
    <t>W41</t>
  </si>
  <si>
    <t>Assign</t>
  </si>
  <si>
    <t>W42</t>
  </si>
  <si>
    <t xml:space="preserve">Explain responsibility authority? </t>
  </si>
  <si>
    <t>W43</t>
  </si>
  <si>
    <t>W44</t>
  </si>
  <si>
    <t>W45</t>
  </si>
  <si>
    <t>W46</t>
  </si>
  <si>
    <t>In case project have specific internet connection, or specific equipment, is the CM plan reviewed by the relevant stakeholders (ISM, IT, Admin)?</t>
  </si>
  <si>
    <t>Are there any specific requirements about the security?</t>
  </si>
  <si>
    <t>Is PP reviewed by ISM?</t>
  </si>
  <si>
    <t>Are procedures/actions identified?</t>
  </si>
  <si>
    <t>If the project has any specific requests for equipments, connection, environment,… 
does assigned member (maybe CC, PTL or PM) send call-log to related units for support (such as to IT for connection, to Admin for equipments, ISM for security, ...)?</t>
  </si>
  <si>
    <t>Refer to Guideline_Software Project Management Procedure.</t>
  </si>
  <si>
    <t>Security Management</t>
  </si>
  <si>
    <t>Refer to sheet Closing in Guideline_Software Project Management Procedure, CM plan.
Evidence: callog , QA random check</t>
  </si>
  <si>
    <t>P75</t>
  </si>
  <si>
    <t>P76</t>
  </si>
  <si>
    <t>P77</t>
  </si>
  <si>
    <t>P78</t>
  </si>
  <si>
    <t>P79</t>
  </si>
  <si>
    <t>P80</t>
  </si>
  <si>
    <t>P81</t>
  </si>
  <si>
    <t>P82</t>
  </si>
  <si>
    <t>P83</t>
  </si>
  <si>
    <t>P84</t>
  </si>
  <si>
    <t>P85</t>
  </si>
  <si>
    <t>P86</t>
  </si>
  <si>
    <t>P87</t>
  </si>
  <si>
    <t>P88</t>
  </si>
  <si>
    <t>P89</t>
  </si>
  <si>
    <t>P90</t>
  </si>
  <si>
    <t>P91</t>
  </si>
  <si>
    <t>WO, PP , Estimation , CM plan</t>
  </si>
  <si>
    <t>Tools</t>
  </si>
  <si>
    <t>W51</t>
  </si>
  <si>
    <t>W52</t>
  </si>
  <si>
    <t>W54</t>
  </si>
  <si>
    <t>W55</t>
  </si>
  <si>
    <t>W56</t>
  </si>
  <si>
    <t>W57</t>
  </si>
  <si>
    <t>W58</t>
  </si>
  <si>
    <t>W59</t>
  </si>
  <si>
    <t>W60</t>
  </si>
  <si>
    <t>W62</t>
  </si>
  <si>
    <t>W63</t>
  </si>
  <si>
    <t>W64</t>
  </si>
  <si>
    <t>W65</t>
  </si>
  <si>
    <t>W67</t>
  </si>
  <si>
    <t>W68</t>
  </si>
  <si>
    <t>C57</t>
  </si>
  <si>
    <t>C58</t>
  </si>
  <si>
    <t>M26</t>
  </si>
  <si>
    <t>All</t>
  </si>
  <si>
    <t>D&amp;M</t>
  </si>
  <si>
    <t>D&amp;M&amp;T</t>
  </si>
  <si>
    <t>D&amp;C&amp;M</t>
  </si>
  <si>
    <t>T</t>
  </si>
  <si>
    <t>C</t>
  </si>
  <si>
    <t xml:space="preserve">Process </t>
  </si>
  <si>
    <t>Task Management Process Review</t>
  </si>
  <si>
    <t>Specific internet connection</t>
  </si>
  <si>
    <t>Project Category</t>
  </si>
  <si>
    <t>W69</t>
  </si>
  <si>
    <t>W70</t>
  </si>
  <si>
    <t>W71</t>
  </si>
  <si>
    <t>W72</t>
  </si>
  <si>
    <t>W73</t>
  </si>
  <si>
    <t>W74</t>
  </si>
  <si>
    <t>W75</t>
  </si>
  <si>
    <t>W76</t>
  </si>
  <si>
    <t>W77</t>
  </si>
  <si>
    <t>W78</t>
  </si>
  <si>
    <t>W79</t>
  </si>
  <si>
    <t>W80</t>
  </si>
  <si>
    <t>M27</t>
  </si>
  <si>
    <t>M28</t>
  </si>
  <si>
    <t>M29</t>
  </si>
  <si>
    <t>B39</t>
  </si>
  <si>
    <t>Actions to solve the uncover could be:
1. Update the estimation, plan and other work products to ensure  the cover.
Verification method
- Compare features, functions, or requirements between the original source and the one in estimation.
- interview PM and check evidence of action taken to resolve the uncover scope. Output of the action shall be agreement or confirmation of customer on the uncover scope and the estimation is updated with the final scope.
2.Note: Project no need to have 2 separate files internal and external estimation, project can use external estimation as internal estimation if billable effort is enough for development and data source used adequately and reasonable.</t>
  </si>
  <si>
    <t>Are data source and method used to estimate  recorded completely?</t>
  </si>
  <si>
    <t>1. Guideline_Software Estimation
Verification method
- If the project use standard methods (UCP, FP, or WBS), use the correspondent guideline to verify
- If the project use its own method, verify if rationale and data used to derive to estimation result recorded and reasonable.
2. Note: Data sources are the bases or origins from which derive the project's estimation of size, effort, schedule and HR. Data sources can be PCB, process database, prototype evaluation results, etc. A sample of data source validation:
When project size is estimated as follows:
Module A - Complex = 6md
Module B - Medium = 5md
Module C - Simple = 4md
Then we have to check that from which data source we can conclude:
1. A is complex, B is medium &amp; C is simple
2. Complex module takes 6md to complete</t>
  </si>
  <si>
    <t>Create/customize: process, template, checklist that used in project</t>
  </si>
  <si>
    <t>Baseline audit , quality gate, internal audit…</t>
  </si>
  <si>
    <t>Compare estimated Calendar Effort with estimated Effort Usage. If the deviation is &gt;10%, the rationale to be addressed</t>
  </si>
  <si>
    <t>1. Process_Requirement Development &amp; Management
2. Requirement Change Process shall contain:
 - Decide what templates used to record requirement change requests.
 - Define membership of Change Control Board. 
 - Define criteria defining which changes shall be undergone CCB approval. 
 - Obtain customer agreement on process and templates. 
3.Note: 
 - Requirement change process usually defines in FI/PP/ Pro.Dev.Approach.
 - Requirement change process usually transfers in KOM/ weekly meeting ..</t>
  </si>
  <si>
    <t>For each testing stage:
1. Item to be tested, test type, test technique, defect number, test tools used and completion criteria are defined consistently with customer requirements and align with project context and objectives.
2. Note: 
Test strategy usually defines:
      - in FI/PP/Quality Management
      - or  in Test plan</t>
  </si>
  <si>
    <t>CIs, that are not in project scope, needn’t getting Deviation
For example: 
Project scope is ended at UT stage then products for stages afterward needn’t listing as Deviation</t>
  </si>
  <si>
    <t xml:space="preserve">Check with Proposal, Statement of Work, Contract, Purchase Order, External Order, Project Requirement, Specification, email, meeting minutes, and interview PM, etc
Refer to Guideline_Software Project Management Procedure.
Refer to FS RADIO.
Refer to Template_Project Plan
Check evidence by emails, meeting minutes
</t>
  </si>
  <si>
    <t>If Yes, are security requirements defined in PP 
(Session 7)?</t>
  </si>
  <si>
    <t>Refer to CM plan for procedure.</t>
  </si>
  <si>
    <t>Note: PM is a physical assets management officer by default if there is no specific assignment for this task in the project organization.</t>
  </si>
  <si>
    <r>
      <t>Pay Attention: Changes to the Work Order or Project Plan requires additional approvals as defined in FSOFT RADIO.</t>
    </r>
    <r>
      <rPr>
        <u/>
        <sz val="10"/>
        <rFont val="Arial"/>
        <family val="2"/>
      </rPr>
      <t/>
    </r>
  </si>
  <si>
    <t>Check in CM report\ Change Control report sheet
For Example: There is a CR. SRS must be upgraded to v1.1. Possibly the version of Design, TC can be upgraded too.</t>
  </si>
  <si>
    <t>Check information in Template_Project Milestone Report</t>
  </si>
  <si>
    <t>Test environment, project directory structure, naming convention and change control procedure?</t>
  </si>
  <si>
    <t>At a minimum, the following project Information shall be up-to-date:
- Work Order
- Project Plan 
- Project Milestone Report</t>
  </si>
  <si>
    <t>Is there any uncountable LOC noted?</t>
  </si>
  <si>
    <t>apply for only FSU3.</t>
  </si>
  <si>
    <t>apply only for FSU3</t>
  </si>
  <si>
    <t>QuestionType</t>
  </si>
  <si>
    <t>Is effort distribution by processes planned ?</t>
  </si>
  <si>
    <t>Are all members trained or transferred about Security rules and procedures?</t>
  </si>
  <si>
    <t xml:space="preserve">Are NCs/OBs/CCs in PMS closed on-time? </t>
  </si>
  <si>
    <t>Are changes recorded in RM Sheet with
Type as Change Request?</t>
  </si>
  <si>
    <t>If there is any change to CIs:
- Is the status of CI in Change Control Report updated accordingly?</t>
  </si>
  <si>
    <t>Is content of milestone report adequate as required?</t>
  </si>
  <si>
    <t>Are actions and decisions resulting from Milestone review implemented &amp; closed on-time?</t>
  </si>
  <si>
    <t>Is Backup performed as defined in CM plan?</t>
  </si>
  <si>
    <t>Does the project folder structure follow CM plan?</t>
  </si>
  <si>
    <t>Is project Timesheet recorded correctly (Project, Process, Product and Type of Work)</t>
  </si>
  <si>
    <t>Are causes/explanations clearly documented for project performance objectives - QPPO (standard objectives + specific objectives) that are out of specification limits?</t>
  </si>
  <si>
    <t>Is actual billable effort verified and updated correctly? Is evidence for it  available?</t>
  </si>
  <si>
    <t>Are the following LOC counted?</t>
  </si>
  <si>
    <t>FI/Issues:
- Are all issues closed?
- Are cause and solution documented clear and understandable?</t>
  </si>
  <si>
    <t>Are all QA records such as quality gate review, final inspection maintained in project folders (compared with deliverables and number of stages)?</t>
  </si>
  <si>
    <t>Post-mortem report</t>
  </si>
  <si>
    <t>By-pass Final Inspection</t>
  </si>
  <si>
    <t>Is progress of missed calls checking conducted as defined in project procedure?</t>
  </si>
  <si>
    <t>Is Task list updated daily?</t>
  </si>
  <si>
    <t>Tasks done &amp; issues if any?</t>
  </si>
  <si>
    <t>Is ticket's solution recorded on system adequately?</t>
  </si>
  <si>
    <t xml:space="preserve">apply for only FSU3. </t>
  </si>
  <si>
    <t>Standard requirement understanding validation methods are: 1) requirement group-review meeting via TV meeting, tele conference, chat or face-to-face meeting. Agenda of this meeting includes both understanding requirements and confirmation ones. 2) requirement understanding is written down and get validated/confirmed with the requirement provider. 3) prototyping. 
Note: If project only give Q&amp;A for the unclear requirements then this Q&amp;A is not validation.</t>
  </si>
  <si>
    <t>Is CAR meeting conducted as planned? Does the result of CAR cover:
- Identifying the common defects/problems
- Defining root causes of these defects/problems and prioritize
- Identifying DP activities to prevent the future occurrence of identified defects/problems and similar defects/problems.</t>
  </si>
  <si>
    <t>In case PM approved access rights for non-project members on special purpose, are the access rights revoked after expiry date?</t>
  </si>
  <si>
    <t>Is mail subject existed?</t>
  </si>
  <si>
    <t>Is complete time of support described in mail content?</t>
  </si>
  <si>
    <t>Does supporter describe overview the support problem?</t>
  </si>
  <si>
    <t>Does supporter inform the remote time?</t>
  </si>
  <si>
    <t xml:space="preserve">1. Standards of SM/OM assignment is defined in Process_Software Project Management, section 4.1. SM/OM of the project is defined in PP.
2. Refer to Guideline_Software Project Management Procedure for detail procedure of operation review
3. Standard frequency of operation review is weekly.
- Review weekly report or required content of weekly report. 
- Review task done/plan task next/Issues 
- Feedback of issues raised by QA và PM. 
- Follow to close the guidance to PM from the previous meeting. 
4. If the simple talking without confirmation in Operation meeting such as: Are there any issues in project? No,...  =&gt; Only tick 50%
</t>
  </si>
  <si>
    <t>Does project team comply to the ticket handling process?</t>
  </si>
  <si>
    <t>When making remote access to Supplier's PC, does supporter comply the "Remote Support Process?</t>
  </si>
  <si>
    <t>Does Supporter introduce his/her name to accountant when connection?</t>
  </si>
  <si>
    <t>In CM Reports\CI Identification\Infrastructure &amp; FI\Project plan\Infrastructure</t>
  </si>
  <si>
    <t>Modified LOC?</t>
  </si>
  <si>
    <t>Is point for custom metric
calculated accurately?</t>
  </si>
  <si>
    <t>Explain how to do the task (step-by-step guide,
using guidelines &amp; templates &amp; checklists...)?</t>
  </si>
  <si>
    <t>Confirm member's understand assigned task?</t>
  </si>
  <si>
    <t>Explain expected result use to evaluate their work
when task is finished?</t>
  </si>
  <si>
    <t>-The following information are required to update daily:  effort/status/new tasks (if have), etc.).
- QAMNGs do not approve deviation to skip updating task list daily</t>
  </si>
  <si>
    <t>QAMNGs do not approve deviation to skip daily meeting</t>
  </si>
  <si>
    <t>The item is not applicable, assessment is not required. This is valid when tailoring/deviation is approved by authorized person and recorded in FI\Tailoring, excluding the out of scope items.</t>
  </si>
  <si>
    <t xml:space="preserve">PCV result must be reviewed by Project QA Lead before communicating with PM, SM and other relevant persons to get confirmation on issues and P&amp;C actions. If there is a conflict opinion, the issue must be escalated to Project QA Lead, FSU QA Manager for appropriate resolution. With  A, B ranked project , the PCV results have to do offline review by FSU QAMNG and Project QA lead. </t>
  </si>
  <si>
    <t>Project QA submits the final PCV Result (that is confirmed by the defined persons as per step 4) to project QA Leader, FSU QA Manager and BU Lead and other relevant on a weekly basis at the pre-defined time. FSU QA Manager  consolidates the PCV result at BU level, FSU level and requests BU Lead/FSU OM for resolutions, as appropriate.</t>
  </si>
  <si>
    <t>On a monthly basic, FSU QA Manager and FSU OM perform CAR on process compliance result at FSU level and send the report to QA.HO. Follow up of CAR result shall be implemented in accordance with Process_Correction &amp; Process_Prevention</t>
  </si>
  <si>
    <t>Choose the Project category in Project Summary sheet</t>
  </si>
  <si>
    <t>When you choose the project category, only questions corresponding to that category will be displayed in Planning, Weekly, Monthly, Baseline, Closing &amp; Daily_Task Mgnt</t>
  </si>
  <si>
    <t>For example: When you chose the "Test" project, only questions related to Testing project will be displayed.Questions of other project categories are hidden.</t>
  </si>
  <si>
    <t>1.You must enable macro for macro-filter to work.</t>
  </si>
  <si>
    <t>2.When you choose the Project Category, a message will appear before &amp; after filtering It closes automatically after 1 sec, unless too many applications are running (may take more than 1 sec).</t>
  </si>
  <si>
    <t>3.To display all questions again, simply press Delete at Project Category (cell C3)</t>
  </si>
  <si>
    <t>4. Macro-filter &amp; auto-filter canNOT be available at same time. If you want to filter by multiple columns filter manually on column B (QuestionType) to display only related questions (All &amp; any word containing first letter of project category) .</t>
  </si>
  <si>
    <t>5. In Daily_Task Management, do not merge cell for Question Type or the filter will NOT work correctly.</t>
  </si>
  <si>
    <t>Customize Process Compliance Checklist as usual</t>
  </si>
  <si>
    <t>D:</t>
  </si>
  <si>
    <t>Development</t>
  </si>
  <si>
    <t>M:</t>
  </si>
  <si>
    <t>Maintenance</t>
  </si>
  <si>
    <t>T:</t>
  </si>
  <si>
    <t>Test</t>
  </si>
  <si>
    <t>C:</t>
  </si>
  <si>
    <t>Call Center</t>
  </si>
  <si>
    <t>O:</t>
  </si>
  <si>
    <t>Other</t>
  </si>
  <si>
    <t>Before customizing PCV, it is necessary to select the right project category:</t>
  </si>
  <si>
    <t>Is the project deviation/tailoring group-reviewed and approved by the people as defined by FSOFT RADIO?</t>
  </si>
  <si>
    <t>IPM</t>
  </si>
  <si>
    <t>VAL</t>
  </si>
  <si>
    <t>DAR</t>
  </si>
  <si>
    <t>PPQA</t>
  </si>
  <si>
    <t>RISK</t>
  </si>
  <si>
    <t>PI</t>
  </si>
  <si>
    <t>Level</t>
  </si>
  <si>
    <t xml:space="preserve"> Internal  Estimation</t>
  </si>
  <si>
    <t>UAT</t>
  </si>
  <si>
    <t>DAR plan</t>
  </si>
  <si>
    <t xml:space="preserve">
</t>
  </si>
  <si>
    <r>
      <t xml:space="preserve">1.Guideline_Software Project Management Procedure
2. Compare with meeting plan in FI/PP/Com.&amp; Reporting.
 </t>
    </r>
    <r>
      <rPr>
        <sz val="10"/>
        <color indexed="10"/>
        <rFont val="Arial"/>
        <family val="2"/>
      </rPr>
      <t/>
    </r>
  </si>
  <si>
    <r>
      <t xml:space="preserve">Are </t>
    </r>
    <r>
      <rPr>
        <sz val="10"/>
        <rFont val="Arial"/>
        <family val="2"/>
      </rPr>
      <t>all required CIs baselined?</t>
    </r>
  </si>
  <si>
    <r>
      <t xml:space="preserve">Design </t>
    </r>
    <r>
      <rPr>
        <sz val="10"/>
        <rFont val="Arial"/>
        <family val="2"/>
      </rPr>
      <t>(ADD/ HLD/ DD)</t>
    </r>
  </si>
  <si>
    <r>
      <t xml:space="preserve"> Test Plan </t>
    </r>
    <r>
      <rPr>
        <sz val="10"/>
        <rFont val="Arial"/>
        <family val="2"/>
      </rPr>
      <t>(UT/ IT/ ST)</t>
    </r>
  </si>
  <si>
    <r>
      <t xml:space="preserve">Test Cases/Scripts </t>
    </r>
    <r>
      <rPr>
        <sz val="10"/>
        <rFont val="Arial"/>
        <family val="2"/>
      </rPr>
      <t>(UT/IT/ST)</t>
    </r>
  </si>
  <si>
    <r>
      <t>Test Data/</t>
    </r>
    <r>
      <rPr>
        <sz val="10"/>
        <rFont val="Arial"/>
        <family val="2"/>
      </rPr>
      <t>Test report(UT/IT/ST)</t>
    </r>
  </si>
  <si>
    <t>Is status of CIs in baseline report matched with the actual CIs in project repository?</t>
  </si>
  <si>
    <t>Do all the CIs in the baseline follows naming convention defined in CM Plan?</t>
  </si>
  <si>
    <r>
      <t xml:space="preserve">If there is any change to CIs, is the </t>
    </r>
    <r>
      <rPr>
        <sz val="10"/>
        <rFont val="Arial"/>
        <family val="2"/>
      </rPr>
      <t>changes-related information (Date, Event, Action Taken, Affected CIs, ..) regularly updated in Change Control Report?</t>
    </r>
  </si>
  <si>
    <r>
      <t>When receives DMS request from customer, is it reviewed and agreed between project and customer before implement</t>
    </r>
    <r>
      <rPr>
        <sz val="10"/>
        <rFont val="Arial"/>
        <family val="2"/>
      </rPr>
      <t>ation?</t>
    </r>
  </si>
  <si>
    <t xml:space="preserve">Is work scope of project fully defined? (Activities are done in project such as create SRS, create design, coding, UT, IT, ST?)
</t>
  </si>
  <si>
    <t xml:space="preserve">Is work scope of project fully defined? (Activities are done in project such as UT, IT, ST?)
</t>
  </si>
  <si>
    <t>Is work scope of project fully defined?</t>
  </si>
  <si>
    <t>Does PM/CC request member to delete &amp; check to ensure that every member deletes all project configuration items (technical documents, source code, scripts,...) from workstations and from any other servers ?</t>
  </si>
  <si>
    <t>Refer to sheet Closing in Guideline_Software Project Management Procedure, CM plan.
Evidence: mail, meeting minute
With others server, QA check all and random with client</t>
  </si>
  <si>
    <t>IV Definitions</t>
  </si>
  <si>
    <t xml:space="preserve">Abbreviations </t>
  </si>
  <si>
    <t xml:space="preserve">Description </t>
  </si>
  <si>
    <t>OM</t>
  </si>
  <si>
    <t>Operation manager</t>
  </si>
  <si>
    <t>Quality Assurance</t>
  </si>
  <si>
    <t xml:space="preserve">CAR </t>
  </si>
  <si>
    <t xml:space="preserve">Causal Analysis and Resolution </t>
  </si>
  <si>
    <t>PCV</t>
  </si>
  <si>
    <t>CMMI</t>
  </si>
  <si>
    <t>Capability Maturity Model Integration</t>
  </si>
  <si>
    <t>PA</t>
  </si>
  <si>
    <t>Integrated Project Management</t>
  </si>
  <si>
    <t>Verification</t>
  </si>
  <si>
    <t>Validation</t>
  </si>
  <si>
    <t>MA</t>
  </si>
  <si>
    <t>Measurement and Analysis</t>
  </si>
  <si>
    <t>Certainly, QA must fill up all information ID, Level, Category.</t>
  </si>
  <si>
    <t>Process and Product Quality Assurance</t>
  </si>
  <si>
    <t>Senior Manager</t>
  </si>
  <si>
    <t>Project Manager</t>
  </si>
  <si>
    <t>Process Compliance Verification</t>
  </si>
  <si>
    <t xml:space="preserve">Project Planning </t>
  </si>
  <si>
    <t>Project Monitoring and Controlling</t>
  </si>
  <si>
    <t>Product Integration</t>
  </si>
  <si>
    <t>QPPO</t>
  </si>
  <si>
    <t>NC</t>
  </si>
  <si>
    <t>Non Conformity</t>
  </si>
  <si>
    <t>OB</t>
  </si>
  <si>
    <t>Process Capability Baseline</t>
  </si>
  <si>
    <t>PCB</t>
  </si>
  <si>
    <t xml:space="preserve">Quality &amp; Process Performance Objectives </t>
  </si>
  <si>
    <t xml:space="preserve">Observations </t>
  </si>
  <si>
    <t>M30</t>
  </si>
  <si>
    <t>KOM</t>
  </si>
  <si>
    <t>Kick off meeting</t>
  </si>
  <si>
    <t>HLD</t>
  </si>
  <si>
    <t>High level design</t>
  </si>
  <si>
    <t>Are the following products sufficiently indentified as CIs in CM Plan as per project’s scope?</t>
  </si>
  <si>
    <t>Others are other things that not defined as above, such as PC's configuration for coding, testing required by customer, …</t>
  </si>
  <si>
    <t>In this case, PM will call log to IT for verifying the new CC is qualified or not. IT will feedback the result via call log. QA can check the evidence in Call log tool.</t>
  </si>
  <si>
    <t>Changes in CM plan may be change CC role, changes in internet connection, server, equipment,…</t>
  </si>
  <si>
    <t>Are CIs made of the latest version of template?</t>
  </si>
  <si>
    <t>QA compare version of template CIs used in project with latest version of template in QMS, Handbook…</t>
  </si>
  <si>
    <t>If  project uses file servers of FSOFT, do not need to describe  its own backup strategy
because IT will backup by default  (refer to Guideline_Backup List  for details), then this item is N/A</t>
  </si>
  <si>
    <t xml:space="preserve"> Acceptance record may be mail in which customer inform OK with final delivery package, or meeting minutes in which taken notes that customer said OK with project and/or accept to close project,...</t>
  </si>
  <si>
    <t xml:space="preserve">Time of PCV result Baseline </t>
  </si>
  <si>
    <t xml:space="preserve">QA must not tick the result into parent items (Parent items like as P23, W59, M6, B2…)
If PM does not define deadline for tasks like project baseline, completing PP, milestone ... then QA must check the results base on standard rules. 
</t>
  </si>
  <si>
    <t>Test script/test data</t>
  </si>
  <si>
    <t>1.If you use Excel 2007 with the file extension .xsls, .xslb, the filter macro will NOT work. You should change the file format to Excel 1998-2003 (.xls) or use extension .xslm of Excel 2007.</t>
  </si>
  <si>
    <t>2.After project category is selected &amp; questions are filtered, you can start customizing PCV:</t>
  </si>
  <si>
    <t>+ Mark N/A  in column "Average Result" for items that are approved to be waiver for the project. Correspondent tailoring/deviation must be recorded in FI and be reviewed and approved by authorized persons in accordance with Guideline_Process Tailoring prior to the implementation, excluding the out of scope items.</t>
  </si>
  <si>
    <t>+ Change verification time of check items to suitable with the approved project defined process and QA SLA. For example: some checked items from sheet Weekly will be moved to sheet Monthly because of change in verification time. The changes are considered as tailorings/deviations of QA activities therefore they are only valid when the tailorings/deviations are reviewed and approved in accordance with Guideline_Process Tailoring prior to the implementation</t>
  </si>
  <si>
    <t>+ Record project tailorings/deviations, specific standards, requirements, processes and templates/checklists used in column "Project Specific" that will be used as project specific PCV criteria.</t>
  </si>
  <si>
    <t>* Notes:</t>
  </si>
  <si>
    <t>- Project QA Lead gets reviewed with SM, PM and approved by FSU QA Manager on the checklist &amp; project implementation time. With A, B ranked project , PCV checklist have to do offline review by FSU QAMNGs &amp; project QA lead.</t>
  </si>
  <si>
    <t>- Project QA Lead provides training to persons who are responsible for Process Compliance Verification, when necessary.</t>
  </si>
  <si>
    <t xml:space="preserve">Does Delivery plan follow commitment with customer? </t>
  </si>
  <si>
    <r>
      <t>Once project is started, Project QA Lead</t>
    </r>
    <r>
      <rPr>
        <sz val="10"/>
        <rFont val="Arial"/>
        <family val="2"/>
      </rPr>
      <t xml:space="preserve"> conducts face to face meeting with SM and PM to transfer Process Compliance Standards &amp; Requirements and to obtain understanding and commitment of SM and PM on that. </t>
    </r>
  </si>
  <si>
    <r>
      <t xml:space="preserve">&lt;   </t>
    </r>
    <r>
      <rPr>
        <sz val="10"/>
        <rFont val="Arial"/>
        <family val="2"/>
      </rPr>
      <t>&gt; - Not yet assessed</t>
    </r>
  </si>
  <si>
    <t>* Note:
+ 2 working-day is set as standard time for confirmation on PCV result. After that due, PCV is baselined if there is no response is received.
+ After being confirmed with the defined persons, PCV result is baselined. It means that changes to baselined PCV result shall be obtained approval of  FSU QA Manager in advance.</t>
  </si>
  <si>
    <t xml:space="preserve">      * Note: 
      + It is recommended to insert additional checked items at BOTTOM of the checklist and have to define the category for added check items.
      + The project have to do offline review the tailoring/deviation </t>
  </si>
  <si>
    <t>- Project QA Lead customizes Process Compliance Checklist for the project based on the approved project defined processes (standards, requirements, procedures, templates, tailorings &amp; deviations):</t>
  </si>
  <si>
    <t>At the pre-defined date as per Project Baseline Plan</t>
  </si>
  <si>
    <r>
      <t xml:space="preserve">The activities are </t>
    </r>
    <r>
      <rPr>
        <sz val="10"/>
        <rFont val="Arial"/>
        <family val="2"/>
      </rPr>
      <t>not performed yet at that point of time.</t>
    </r>
  </si>
  <si>
    <t>Project's PC Rate chart by week</t>
  </si>
  <si>
    <t xml:space="preserve"> Project's PC Rate chart by month</t>
  </si>
  <si>
    <t>PC Rate by SM involvement chart by month</t>
  </si>
  <si>
    <t xml:space="preserve"> PM's PC Rate chart by month</t>
  </si>
  <si>
    <t xml:space="preserve">1. Customizing checklist is default if the project has review action for mandatory product as TP, TC
2. Item is N/A if:
 + The project only apply process, template of FSOFT  
 + Apply tailoring about review using experience without checklist
 </t>
  </si>
  <si>
    <t>Study: URD/ SRS/ Design/ Source Code/ Test Plan/ TC/ Installation Guide/ User Manual/ Other documents that supplied by customer if any…</t>
  </si>
  <si>
    <t xml:space="preserve">Study: Test Plan/ TC/Test design/Test script/ Installation Guide/ User Manual/ Other documents that supplied by customer if any…
</t>
  </si>
  <si>
    <t>Infrastructure including:</t>
  </si>
  <si>
    <t xml:space="preserve">Server </t>
  </si>
  <si>
    <t>- Equipments include communication equipments (modems routers, switches, telephone exchanges, fax machines, answering machines), storage devices (USB storage, HDD, tapes and disks) and other technical equipments (printer, photocopy machine, power supplies, air-conditioning units, token card).</t>
  </si>
  <si>
    <t>Others</t>
  </si>
  <si>
    <t>1. Process_Configuration Management.
2. Check with back-up session in CM plan</t>
  </si>
  <si>
    <t>In case  project CC needs specific IT skill (such as installation, config setting, project server management,...),  is project CC verified by IT?</t>
  </si>
  <si>
    <t xml:space="preserve">1. Guideline_Software Project Management Procedure
2. Project related documents include, but not limited to the followings:
• Master Agreement (MA) &amp; Non-Disclosure Agreement (NDA) for the account or from similar previous projects 
• Acceptance criteria from previous projects of the account
• Proposal 
• Contract/External Work Order 
• Customer Requirement Specification
• Initial Risk Assessment from Preparation phase
• External Estimation that sent to customer
Verification method
- Interview PM and confirm evidences (delivery record, access right to the shared repository, etc).
3.Note: 
+This item is N/A and no need deviation if:
- PM join bidding, OR
- PM was PM/SM of the same customer, same domain and same scope of previous project.
</t>
  </si>
  <si>
    <t>1. Process_Software Project Management
2. Guideline_Software Project Management Procedure
3. Pay attention for the risks come from Assumptions, Constraints, Critical Dependencies, or Tailoring/Deviations
Verification method
- Interview PM (what are common risks of the similar projects, and why don't you consider "" as your project risk?) and confirm by evidence</t>
  </si>
  <si>
    <t xml:space="preserve">1. DP Goals is specific, critical, and align with the Project Objectives. It is defined based on historical data, best practices, lessons learnt of previous projects or similar projects
2. DP actions/strategies are specific, critical to achieve DP Goal.
3.Note:  
 - Quality metrics  are the final goals which the project team expect to achieve at the end of project after implementing a series of actions.
 - DP metrics are mini-goals which the project team should define to measure and control the achievement in the whole of project development duration in order to ensure that the Quality metrics are achieved successfully
For Example: 
 - Quality metrics is Leakage (in WO)...
 - DP metrics can be  Defect rate of Coding logic, GUI, Careless mistakes, etc. </t>
  </si>
  <si>
    <t>- Review strategy is defined for ALL project deliverables and main work products
- For each work products to be reviewed:
1. Review target (number of defect detected, effort ...) is set based on PCB, Process Database
2. Review type, review method and completion criteria are defined based on Process Asset, Process Composition and customer requirements.
3. Note: 
 Review strategy usually defines in FI/PP/Quality Management</t>
  </si>
  <si>
    <t>1. The Commitment usually defines in the Estimation, Proposal, Statement of Work, Contract, Purchase Order, External Order, Project Requirement Specification, email, meeting minutes, and interview PM, etc
2. Use Process Composition to verify feasibility of QPPO if Process Composition is available for the project segment.
3. Organization's goals are FS norm, FSU goals, BU goals</t>
  </si>
  <si>
    <t xml:space="preserve">1. Information cover: Name of the contact point person, responsibility, communication channel. 
2. Pay attention on who is responsible for the project at customer side (Customer's PM), who provides requirements, review and approve the project results, who take care  technical aspect, etc.
3. After customer confirmed then Customer responsibility often defines in FI/PP/ Organization/Customer's interfaces </t>
  </si>
  <si>
    <t>1. Process_Configuration Management,
Template_CM Plan
2. Change control procedure shall contain  standards and requirements for check in/check out and changes to source code (get informed/approval from Whom before changes, where to record history of change).
'1. Dev Area: cứ dự án dùng tool quản lý code thì sure là có Dev Area
2.  Test/Release Area
+ Nếu dùng VSS, thể hiện qua Label với Namining Convention (VD: Test_YYYYMMĐ, Release_YYYYMMDD)
+ Nếu dùng  SVN, thể hiện qua Tag với Naming Convetion tương tự
+ Nếu chức năng Label/Tag của tool ko đc sử dụng mà dư án get  source code và copy  lên 1 folder, thì QA check folder tương ứng đó. VD: WIP\Deliverables\YYYYMMDD chính là Release Area.
    QA base trên ít nhất Test/Release Schedule (tức lịch code đc baseline chuyển qua Tester or release cho KH) để check những lần Label/Tag/Folder tương ứng
- Check CM Plan các phần liên quan sau
+ Section 2.4 "CI Baseline Procedure", workflow liên quan đến Source Code
+ Section 2.3.1 "Promotion Areas"
+ Section 2.3.2   mục VSS/SVN Directory trong bảng " Directory structure"
+ Section 2.1 "Version numbering rule"
* Các dư án hay keep nguyên nôi dung cac Section trên theo Template_CM Plan nhưng thưc tế ko hề đúng mà hay làm khác. Điều quan trọng, dư án luôn có  tách biệt các Area nhưng lại ko biết cách thể hiện qua CM Plan --&gt; phải thể hiện đúng việc làm đó trong CM Plan, chứ ko fai  keep theo Template</t>
  </si>
  <si>
    <r>
      <t xml:space="preserve">'- Check "Equipments" table of 2.2 "Project Infrastructure" section to be fulfilled.
- If equipments are managed at ODC level then this item will be N/A  </t>
    </r>
    <r>
      <rPr>
        <strike/>
        <sz val="10"/>
        <rFont val="Arial"/>
        <family val="2"/>
      </rPr>
      <t/>
    </r>
  </si>
  <si>
    <t xml:space="preserve">Are project acceptance criteria validated and confirmed by PM and customer? </t>
  </si>
  <si>
    <t>Are deliverable acceptance criteria validated and confirmed by PM and customer?</t>
  </si>
  <si>
    <t>Are deliverable acceptance criteria transferred to project team?</t>
  </si>
  <si>
    <t>Is Project Pre-Planning Meeting conducted by SM in accordance with the defined procedure?</t>
  </si>
  <si>
    <t>Internal Estimation</t>
  </si>
  <si>
    <t xml:space="preserve">Does scope of work for internal estimation cover the scope that customer requested in customer requirements/Contract/External Work Order?
- If no, are actions taken to resolve the problem?
</t>
  </si>
  <si>
    <t>Are project assumptions and constraints (including customer responsibility, dependencies, etc) defined &amp; recorded in Project Planning?</t>
  </si>
  <si>
    <t>Internal  Estimation</t>
  </si>
  <si>
    <t xml:space="preserve">Is historical data in PCB, Process Database, similar projects used to calculate effort  estimation distributed by processes?
</t>
  </si>
  <si>
    <t xml:space="preserve"> Internal Estimation</t>
  </si>
  <si>
    <r>
      <t>If project effort estimate for main processes  is out of control limit of given by PCB for similar project</t>
    </r>
    <r>
      <rPr>
        <strike/>
        <sz val="10"/>
        <color theme="1"/>
        <rFont val="Arial"/>
        <family val="2"/>
      </rPr>
      <t>,</t>
    </r>
    <r>
      <rPr>
        <sz val="10"/>
        <color theme="1"/>
        <rFont val="Arial"/>
        <family val="2"/>
      </rPr>
      <t xml:space="preserve"> Is rationale for deviation recorded and reasonable? (in alignment with project approach, quality management plan)</t>
    </r>
  </si>
  <si>
    <t>Is internal estimation file  available and maintained in project folder?</t>
  </si>
  <si>
    <t>Verification method:
- Seeking for internal estimation file in project repository</t>
  </si>
  <si>
    <t xml:space="preserve">Has the project internal estimation undergone Group-Review and been approved by the people as defined by FSOFT RADIO?
</t>
  </si>
  <si>
    <t>Does project schedule cover the following tasks in scope of the project?</t>
  </si>
  <si>
    <r>
      <t xml:space="preserve">Create/customize: </t>
    </r>
    <r>
      <rPr>
        <sz val="10"/>
        <color theme="1"/>
        <rFont val="Arial"/>
        <family val="2"/>
      </rPr>
      <t>process, template, checklist that used in project</t>
    </r>
  </si>
  <si>
    <t>Guideline_Review Procedure
FSOFT RADIO
Reviewer: SM, Member, QA 
Approver: SM</t>
  </si>
  <si>
    <t>Is information for HR of project defined with:
  - qualifications and  experience of each member
  - % effort usage, and allocated duration (start date, end date) of each member.
  - Role and responsibility  of each member</t>
  </si>
  <si>
    <t>Is the estimated Calendar Effort consistent with estimated Effort Usage?</t>
  </si>
  <si>
    <r>
      <t xml:space="preserve">Does PM define risks of project using:
- Risk Source &amp; Risk Category 
- TOP 5 risks of FSOFT,
</t>
    </r>
    <r>
      <rPr>
        <b/>
        <sz val="10"/>
        <color theme="1"/>
        <rFont val="Arial"/>
        <family val="2"/>
      </rPr>
      <t xml:space="preserve">- </t>
    </r>
    <r>
      <rPr>
        <sz val="10"/>
        <color theme="1"/>
        <rFont val="Arial"/>
        <family val="2"/>
      </rPr>
      <t>Security rules that customer requested                    
- Risk Database of similar projects ?</t>
    </r>
  </si>
  <si>
    <r>
      <t xml:space="preserve">Verify Impact, Probability, and Priority
</t>
    </r>
    <r>
      <rPr>
        <u/>
        <sz val="10"/>
        <color theme="1"/>
        <rFont val="Arial"/>
        <family val="2"/>
      </rPr>
      <t>Verification method</t>
    </r>
    <r>
      <rPr>
        <sz val="10"/>
        <color theme="1"/>
        <rFont val="Arial"/>
        <family val="2"/>
      </rPr>
      <t xml:space="preserve">
- Interview PM to verify if rationale for weighting impact and probability for each risk is reasonable. Then based on that, verify if risk priority is properly set.
</t>
    </r>
  </si>
  <si>
    <t>Is Risk Response Plan clearly defined in Risk List and mitigation action incorporated in Project Schedule, PP?</t>
  </si>
  <si>
    <t>Does the project define product integration strategy  as required by FSOFT rule?</t>
  </si>
  <si>
    <t>Is Project Requirement Change Process established &amp; transferred to all members of project?</t>
  </si>
  <si>
    <t>Is the Project Defect Prevention Plan developed properly with:
-  DP Goals
-  DP strategies 
-  DP Actions
-  DP team</t>
  </si>
  <si>
    <t>Is Review Strategy defined properly in PP with:
- Review target
- Review type
- Review method
- Review item &amp; reviewer</t>
  </si>
  <si>
    <t>Is Test Strategy defined with:
- Test  target
- Test  stage
- Test  type and technique 
- Test item &amp; tool if any</t>
  </si>
  <si>
    <t>Are target values of project objectives (QCD) set consistently with the organization's goals and the commitments made to customer? 
If not, are reasons for deviation explained &amp; accepted by authorized persons?</t>
  </si>
  <si>
    <t>Are customer responsibility &amp; responsible person for the project at customer side identified and get confirmed by customer?</t>
  </si>
  <si>
    <t>Is communication mechanism with customer defined &amp; agreed by customer?</t>
  </si>
  <si>
    <t>1.Template_Project Plan.
2. After customer agreed then communication mechanism with customer defines in FI/PP/Com. &amp; Reporting</t>
  </si>
  <si>
    <t>Are internal project communication principles defined?
- Project Task Tracking 
- Project reporting: daily report/weekly report/milestone report/ monthly report….
- Project Meetings: daily meeting/weekly meeting/milestone meeting ….</t>
  </si>
  <si>
    <t>1.Template_Project Plan.
2. Internal project communication defines in FI/PP/Com. &amp; Reporting</t>
  </si>
  <si>
    <t>Test plan, test cases, test report,  test design , test viewpoint…</t>
  </si>
  <si>
    <r>
      <rPr>
        <sz val="10"/>
        <color theme="1"/>
        <rFont val="Arial"/>
        <family val="2"/>
      </rPr>
      <t>Project indentified process document as CI to control và baseline if:
+  customer provided and required project team to follow
+ customized by team throughout project lifecycle, it means not existing document  in QMS or Handbook.</t>
    </r>
    <r>
      <rPr>
        <strike/>
        <sz val="10"/>
        <color theme="1"/>
        <rFont val="Arial"/>
        <family val="2"/>
      </rPr>
      <t xml:space="preserve">
</t>
    </r>
  </si>
  <si>
    <r>
      <t xml:space="preserve">        </t>
    </r>
    <r>
      <rPr>
        <sz val="10"/>
        <color theme="1"/>
        <rFont val="Arial"/>
        <family val="2"/>
      </rPr>
      <t>Operating System (OS)</t>
    </r>
  </si>
  <si>
    <r>
      <t xml:space="preserve">        Programming </t>
    </r>
    <r>
      <rPr>
        <sz val="10"/>
        <color theme="1"/>
        <rFont val="Arial"/>
        <family val="2"/>
      </rPr>
      <t>language</t>
    </r>
  </si>
  <si>
    <r>
      <t xml:space="preserve">server includes FSOFT server/OSDC server/ Customer server/ specific server </t>
    </r>
    <r>
      <rPr>
        <sz val="10"/>
        <rFont val="Arial"/>
        <family val="2"/>
      </rPr>
      <t/>
    </r>
  </si>
  <si>
    <r>
      <t xml:space="preserve">      Equipments supplied by customer/ other group/</t>
    </r>
    <r>
      <rPr>
        <sz val="10"/>
        <color theme="1"/>
        <rFont val="Arial"/>
        <family val="2"/>
      </rPr>
      <t>other project/ own group</t>
    </r>
  </si>
  <si>
    <t>Is structure of project directory and access right defined properly in CM Plan?</t>
  </si>
  <si>
    <t>Areas Develop, Test, and Release are mandatorily separated, could not be merged with each other.</t>
  </si>
  <si>
    <t>Is back-up strategy defined (location to store back-up, back-up frequency, back-up type, person-in charge)?</t>
  </si>
  <si>
    <t>Does project define the method to control/store for physical assets supplied by customer/other group/other project/own group (if any) in CM plan?</t>
  </si>
  <si>
    <r>
      <t xml:space="preserve">Refer to Process_Configuration Management.
Guideline_Software Project Management Procedure.
IT verifies that CC is qualified to implement his tasks. </t>
    </r>
    <r>
      <rPr>
        <strike/>
        <sz val="10"/>
        <rFont val="Arial"/>
        <family val="2"/>
      </rPr>
      <t/>
    </r>
  </si>
  <si>
    <t>Is CM Plan provided orientation to project teams and approved as required by FSOFT rules?.
With version of CM plan from 1.1 upward , is this CM plan approved on time as project committed?</t>
  </si>
  <si>
    <t>Is Project Work Order reviewed, approved as required by FSOFT rule?
With version of WO from 1.1 upward , is this WO approved on time as project committed?</t>
  </si>
  <si>
    <t>Is Project Plan reviewed and approved as required by FSOFT rules?
With version of PP from 1.1 upward , is this PP approved on time as project committed?</t>
  </si>
  <si>
    <t>P92</t>
  </si>
  <si>
    <t>1. Guideline_Software Project Management Procedure
2. This item applies for all  Risk owned by the project Risks contain those detected by QA,  auditors, project team, customer, or other relevant stakeholders.
3. Relevant people, who shall be involved in discussion of risk handling, contains the person raise the issue, and the person responsible for the action at a minimum.</t>
  </si>
  <si>
    <t>1. Are actions to deal with Issue discussed &amp; agreed by relevant people?
2. Is issue status updated adequately in issue list?</t>
  </si>
  <si>
    <t>QA can detect customer complaint via customer's mail, customer meeting,...</t>
  </si>
  <si>
    <t xml:space="preserve">Information assets: products that customer supplied, CIs are approved, rules of project..
</t>
  </si>
  <si>
    <t xml:space="preserve">Reference Process_Task Management
- Interview some members to confirm: 
   +They understand their duties and authorities and accept them ,
   +PM/PTL did face to face communication when assign task…
</t>
  </si>
  <si>
    <t>1. Guideline_Software Project Management Procedure
2. This item applies for all issues/NCs/OBs owned by the project. Issues contain those detected by QA,  auditors, project team, customer, or other relevant stakeholders.
3. Relevant people, who shall be involved in discussion of issue handling, contains the person raise the issue, and the person responsible for the action at a minimum</t>
  </si>
  <si>
    <t>1. Is project's timesheet fully and correctly recorded?
- Fully: all team members report their timesheet (pay attention to effort for Product Review, Correct, Training, CM, Project Planning, Prevention)
- Correctly: timesheet report is recorded as per Guideline_Timesheet (pay attention to Project, Process, Product and Type of Work)
2. Does PM/PTL review project timesheet on-time?</t>
  </si>
  <si>
    <t>Is defect information in DMS updated fully and correctly?
- Fully : All defects are records in DMS &amp; resolved (pay attention on defects detected in code review, document review and by customer)
- Correctly (pay attention on QC activity, Defect Type, Defect Origin, Severity, and Cause Category, Role)</t>
  </si>
  <si>
    <t xml:space="preserve">Had effectiveness of the review been evaluated against the review target before the authorized person on the review confirmed that the product review is Review Passed or Review Again?
- Are actions defined and implemented for the review when review target is not reached?
</t>
  </si>
  <si>
    <t>Standard:
- Compare actual review result against the plan to evaluate effectiveness of review: 
- Identify issues in the plan and the execution. 
- Take action when issues are identified
- Track action to closure.
 - authorized person is the person who play role Approver according to RADIO</t>
  </si>
  <si>
    <t>Had effectiveness of the Testing been evaluated against the testing target before the authorized person on the testing confirmed that testing status is Testing Passed or Testing Again?
- Are actions defined and implemented for the Testing when review target is not reached?</t>
  </si>
  <si>
    <t>Standard:
- Compare actual Testing result (number of defects, effort spent.....) against the plan to evaluate effectiveness of Testing
- Identify issues in the plan and the execution. 
- Take action when issues are identified
- Track action to closure.
 - authorized persons  is the persons who play role Approver according to RADIO</t>
  </si>
  <si>
    <t>Ensure the access right is maintained as section Directory structure as defined CM plan. Check in VSS, CVS or SVN tool , 
Note: QA can run FileScanner tool to support for checking access right of folders in the project. This tool is available in \\fsoft-support\Setup\Utilities\Tools</t>
  </si>
  <si>
    <t>Are all Risks recorded in Risk List?</t>
  </si>
  <si>
    <t>Are actions to resolve the Risk implemented on-time?</t>
  </si>
  <si>
    <t>Are all Issues recorded in Issue List?</t>
  </si>
  <si>
    <t>Are actions to resolve the Issues implemented on-time ?</t>
  </si>
  <si>
    <t>Is Project Progress Review Meeting conducted as project defined ?
+ agenda: review risk/issue, progress, quality, tasks done, Next task...
+ meeting time</t>
  </si>
  <si>
    <t xml:space="preserve">1. Guideline_Software Project Management Procedure
2. This requirement applies for all project reports: weekly report, milestone report, CAR report, event-driven reports, etc
3. Compare with information in FI/PP/Com.&amp; Reporting </t>
  </si>
  <si>
    <t>Are customized Review Checklists (following standards, requirements, common defects,.. ) reviewed and approved by relevant persons before usage?</t>
  </si>
  <si>
    <t>1. Guideline_Review Procedure
2. Compare with information in FI/PP/Quality Mngt</t>
  </si>
  <si>
    <t xml:space="preserve">Are deliverables conducted final inspection by QA as SLA or QA Plan?
</t>
  </si>
  <si>
    <t>Are deliverables reviewed and obtained approval of appropriate persons before releasing?</t>
  </si>
  <si>
    <t>Does SM/OM timely provides guidance/decisions on issues that cannot be solved by the project team or that are overdue?</t>
  </si>
  <si>
    <t xml:space="preserve">Does SM/OM implement actions to resolve project issues that are committed by them? </t>
  </si>
  <si>
    <t xml:space="preserve">When project have customer complaint, does SM join CAR meeting &amp; directly review with PM on CAR Report &amp; Improvement Plan?
</t>
  </si>
  <si>
    <t>Are DP activities that are defined in DP Plan and   Previous CAR meeting’s conclusion implemented?</t>
  </si>
  <si>
    <t>In case project has new member, is he/she trained or transferred about Security rules and procedures?</t>
  </si>
  <si>
    <t>Does access right implementation follow CM Plan or project own rules ?</t>
  </si>
  <si>
    <t>For Testing, is software package executed in correct test environment as defined in CM plan?</t>
  </si>
  <si>
    <t xml:space="preserve">Refer to Process_Configuration Management:
+Sharing the work-related information to others entity outside the project team without prior permission of PM is forbidden.  
+ The Confidential information is also encrypted when sending via email.
+For  the  information supplied by customer or the  deliverables sent to customer, if a removal/  deletion request by customer is available, a list of to-be-deleted items and a deletion method are defined.  </t>
  </si>
  <si>
    <t>In case project change CC role for internet connection and project CC needs specific IT skill (such as installation, config setting, project server management,...) , new CC is verified by IT ?</t>
  </si>
  <si>
    <t>Are changes in CM plan transferred to all project team immediately after approved?</t>
  </si>
  <si>
    <t>Do project comply to the mail processing procedures below:</t>
  </si>
  <si>
    <t>Are Project Pending Ticket Reports to team &amp; relevant people submitted daily as per plan?</t>
  </si>
  <si>
    <t>Is created Project Task list based on Project Plan, Project Schedule/Master schedule?</t>
  </si>
  <si>
    <t>For each task, are the following information defined adequately?
- Task Description
- Person in charge
- Estimated effort
- Deadline, etc.</t>
  </si>
  <si>
    <r>
      <t xml:space="preserve">Does task list include detailed tasks for </t>
    </r>
    <r>
      <rPr>
        <b/>
        <sz val="10"/>
        <color theme="1"/>
        <rFont val="Arial"/>
        <family val="2"/>
      </rPr>
      <t>&gt;=</t>
    </r>
    <r>
      <rPr>
        <sz val="10"/>
        <color theme="1"/>
        <rFont val="Arial"/>
        <family val="2"/>
      </rPr>
      <t xml:space="preserve"> 01 week ahead?</t>
    </r>
  </si>
  <si>
    <t>Does PM/PTL do face-to-face communication when assigning task with the followings:</t>
  </si>
  <si>
    <t>Does PM/PTL  get information about status of member's task in daily meeting?</t>
  </si>
  <si>
    <t>Does PM/PTL review the result of each task when task is finished?</t>
  </si>
  <si>
    <t>Do persons who play key role (such as PM, BA, Test Leader, Designer, etc) get involved in requirement analysis with sufficient effort?</t>
  </si>
  <si>
    <t>Do persons who play key role (such as PM, BA, Test Leader, etc) get involved in requirement analysis with sufficient effort?</t>
  </si>
  <si>
    <t>Do persons who play key role (such as PM, BA, etc) get involved in requirement analysis with sufficient effort?</t>
  </si>
  <si>
    <t>Is project team members' understanding on customer requirements, project requirements verified and confirmed by PM or appropriate person?</t>
  </si>
  <si>
    <t>Do Supervisor and account leader review calllog as per defined plan?</t>
  </si>
  <si>
    <t>Are calllogs (tickets) tracked and their status updated adequately?</t>
  </si>
  <si>
    <t>Is customer requirement analysis result/understanding of project team confirmed and validated by customer? Is validation result recorded?</t>
  </si>
  <si>
    <t>Process_Prevention.
Note: At least 1CAR meeting/project milestone</t>
  </si>
  <si>
    <t>Are training, orientation provided to team members to make sure they are fully aware of:</t>
  </si>
  <si>
    <t>Are changes to WO and their associate documents (Estimation, PP, Project Schedule) reviewed &amp; approved on-time follow the results of milestone ?
- Identify which change document is required.
- Complete the information required 
- Obtain review &amp; approval as defined in Project RADIO.
- Communicate all approved or declined changes to affected stakeholders.</t>
  </si>
  <si>
    <t>- Are effect of changes resulting from DP activities measured and evaluated vs. DP Goals at milestone/post-mortem meeting?
- Are actions defined and taken in case DP Goals have not been achieved?</t>
  </si>
  <si>
    <t>Does SM/OM interacts with customer as committed to ensure they are satisfied and that project issues are promptly raised and addressed ?</t>
  </si>
  <si>
    <t>For Source CI,  is it baselined as defined in CM plan?
 If the project does not finish CM plan, is source code baselined follow defined rules?</t>
  </si>
  <si>
    <t>For Source CI, are Development &amp; Test environment consistent with customer requirement environment?</t>
  </si>
  <si>
    <r>
      <t xml:space="preserve">Standards such as Coding standard, Design standard, Design Templates, Test case form, etc.
</t>
    </r>
    <r>
      <rPr>
        <sz val="10"/>
        <rFont val="Arial"/>
        <family val="2"/>
      </rPr>
      <t>Project must conduct baseline these documents if they are:
+  customer provided and required project team to follow
+ customized by team throughout project lifecycle, it means not existing document  in QMS or Handbook.</t>
    </r>
  </si>
  <si>
    <r>
      <t xml:space="preserve">Is the project baseline conducted </t>
    </r>
    <r>
      <rPr>
        <sz val="10"/>
        <rFont val="Arial"/>
        <family val="2"/>
      </rPr>
      <t>on time with defined baseline criteria?</t>
    </r>
  </si>
  <si>
    <r>
      <t xml:space="preserve">Add more row or customize list of products if needed.
</t>
    </r>
    <r>
      <rPr>
        <sz val="10"/>
        <rFont val="Arial"/>
        <family val="2"/>
      </rPr>
      <t>Baselined CIs must be latest approved version ones.</t>
    </r>
  </si>
  <si>
    <r>
      <rPr>
        <sz val="10"/>
        <rFont val="Arial"/>
        <family val="2"/>
      </rPr>
      <t>Products supplied by customer</t>
    </r>
  </si>
  <si>
    <t>CAR report</t>
  </si>
  <si>
    <t>3rd</t>
  </si>
  <si>
    <t>Causal analysis must be recorded with the following information:
- Problems: what is problems? what process? Unit/Team/Customer
- Root cause must be mapped with Cause Category defined in Process_Correction document.
- Resolution/action/lesson: action must be clear, what is output? PIC (account name), deadline?</t>
  </si>
  <si>
    <t>Are project defects all recorded in DMS? (particularly defects found in code review, document review &amp; by customer - check against review records)</t>
  </si>
  <si>
    <t>Is defect information recorded correctly? (QC activity, Defect Type, Defect Origin, Severity, Role ,and Cause Type)</t>
  </si>
  <si>
    <t>Does project team record all Timesheet?</t>
  </si>
  <si>
    <t>Are project issues/NCs/OBs/CCs in PMS updated fully with description, actions and status?</t>
  </si>
  <si>
    <t>Is record of using 5-WHY technique for causal analysis when project has 
- CSS &lt; 60 point
- Actual value  of project QPPO worse than 50% against the committed value.
- Customer complaint raised to Group Leader or above
- "Fatal" Defects</t>
  </si>
  <si>
    <t>Is project organization structure updated adequately at FI/WO/Organization?</t>
  </si>
  <si>
    <t>Are information of External interfaces (full name, position, department, role &amp; responsibility in project, phone, fax, email) updated adequately at FI/PP/Organization?</t>
  </si>
  <si>
    <t>Is information of tools and technology fully recorded for OS, DBMS, Languages, Tools, Hardware?</t>
  </si>
  <si>
    <t>Is information of tools and technology fully recorded for OS, DBMS, Tools, Hardware?</t>
  </si>
  <si>
    <t>Is project category defined correctly? Is Project Overview clearly defined? (Context &amp; what’ project for)? Is Project Objective mapped with Contract/Estimation?</t>
  </si>
  <si>
    <r>
      <t xml:space="preserve">Schedule: </t>
    </r>
    <r>
      <rPr>
        <sz val="10"/>
        <color theme="1"/>
        <rFont val="Arial"/>
        <family val="2"/>
      </rPr>
      <t>All tasks are filled up with plan and actual end date (except Cancelled tasks)?</t>
    </r>
  </si>
  <si>
    <r>
      <t>Are LOC counted and recorded for Software package products in FI/Product (</t>
    </r>
    <r>
      <rPr>
        <i/>
        <sz val="10"/>
        <color theme="1"/>
        <rFont val="Arial"/>
        <family val="2"/>
      </rPr>
      <t>Note: LOC of different languages)</t>
    </r>
    <r>
      <rPr>
        <sz val="10"/>
        <color theme="1"/>
        <rFont val="Arial"/>
        <family val="2"/>
      </rPr>
      <t>?</t>
    </r>
  </si>
  <si>
    <t>Added LOC?</t>
  </si>
  <si>
    <t>Is the page/sheet number of SRS (new &amp; re-used SRS of project) counted and recorded in FI\Product?</t>
  </si>
  <si>
    <t>Is the page/sheet number of Design (new &amp; re-used Design of project) counted and recorded in FI\Product?</t>
  </si>
  <si>
    <t>Is the number of Test cases (new &amp; re-used test cases of project) counted and recorded in FI\Product?</t>
  </si>
  <si>
    <t>FI/Risks:
- Are all risks closed?
- Is risk information filled up?
- Is process related to occurred risks correctly identified?
- Is information clear?</t>
  </si>
  <si>
    <t>Are project's Lessons/Practices/Suggestions documented adequately?
- Are they understandable?
- Are they correctly mapped to related processes?</t>
  </si>
  <si>
    <t>Are Tailoring/Deviation recorded in FI/Tailoring adequately  and Are modifications for Deviation correctly mapped with category?</t>
  </si>
  <si>
    <t>Are all actions/comments defined in the Post-mortem meeting closed?</t>
  </si>
  <si>
    <t>Are all QA records such as quality gate review records maintained in project folders (compared with deliverables and number of stages)?</t>
  </si>
  <si>
    <t>When returning assets at project closure, is a similar handover note available and submitted to Assets Management Officer?</t>
  </si>
  <si>
    <t>In case assets of customer is requested to be destroyed, have the assets been destroyed and the evidence was kept?</t>
  </si>
  <si>
    <t>Is internet connection right of all members in project removed?</t>
  </si>
  <si>
    <t>Is bonus point calculated accurately if any?</t>
  </si>
  <si>
    <t>Is penalty point calculated accurately if any?</t>
  </si>
  <si>
    <t>Are project review records (both internal and external, in Audit folder) kept in backup-PQA server?</t>
  </si>
  <si>
    <t>Does PM/PTL get information about status of member's task in daily meeting?</t>
  </si>
  <si>
    <t>P93</t>
  </si>
  <si>
    <t>P94</t>
  </si>
  <si>
    <t>P95</t>
  </si>
  <si>
    <t>P96</t>
  </si>
  <si>
    <t>B17</t>
  </si>
  <si>
    <t>B40</t>
  </si>
  <si>
    <t>C60</t>
  </si>
  <si>
    <t xml:space="preserve">1. Guideline_Software Project Management Procedure
2.Process_Requirement Development &amp; Management.
 Examples:
Ex1: All test cases are executed.
3. Note: this item is N/A and no need deviation if OSDC project which customer send requirements little by little during project duration
4. Evidence of validation or confirmation of customer may be in Minutes of Meeting, or approval of estimation, proposal in which acceptance criteria recorded.
</t>
  </si>
  <si>
    <t>1. Guideline_Software Project Management Procedure
2.Process_Requirement Development &amp; Management.
3. Note: this item is N/A and no need deviation if OSDC/maintenance project which customer send requirements little by little during project duration
4. Evidence: Acceptance criteria is discussed in KOM...</t>
  </si>
  <si>
    <t>1. Guideline_Software Project Management Procedure
2.Process_Requirement Development &amp; Management
Examples:
FOR ADD RELEASE:
+The ADD include 5 class diagram correctly and completely,  and layered appropriately: UI , Business Logic and Data Access.
+The ADD include 6 sequence diagram correctly and completely.
+ Fixed customer comment. 
FOR INTERIM SOURCE  RELEASE.
+Finished all functions, except “Authentication”.
+Fixed all important code review issues raised by tools.
+Fixed important code review issues raised by manual review; but not all. E.g. a issue impacts 5 parts, we can fix only 1 part, and note clearly that other parts will be fixed later.
+Did unit test for 100% test cases; don’t care about if they are passed or not.
FOR ST TC  RELEASE:
+ST Test Case include all items correctly and completely:
 - GUI covers 25 screens correctly
 - Performance as mentioned in Test plan.
 - User Roles mentions responsibility of 3 roles correctly.
 - Density test case: 10 TCs/KLOC
3. Evidence: acceptance criteria is recorded in documents such as estimation , SRS, proposal.....</t>
  </si>
  <si>
    <t>1. Guideline_Software Project Management Procedure
2.Process_Requirement Development &amp; Management
Examples:
FOR ST TC  RELEASE:
+ST Test Case include all items correctly and completely:
 - GUI covers 25 screens correctly
 - Performance as mentioned in Test plan.
 - User Roles mentions responsibility of 3 roles correctly.
 - Density test case: 10 TCs/KLOC
3. Evidence: acceptance criteria is recorded in documents such as estimation , SRS, proposal.....</t>
  </si>
  <si>
    <t>1. Guideline_Software Project Management Procedure
2.Process_Requirement Development &amp; Management.
3. Evidence: acceptance criteria is discussed in KOM…</t>
  </si>
  <si>
    <r>
      <t xml:space="preserve">1. Guideline_Software Project Management Procedure
2. Guideline_Software Estimation
</t>
    </r>
    <r>
      <rPr>
        <u/>
        <sz val="10"/>
        <color theme="1"/>
        <rFont val="Arial"/>
        <family val="2"/>
      </rPr>
      <t xml:space="preserve">Verification method
</t>
    </r>
    <r>
      <rPr>
        <sz val="10"/>
        <color theme="1"/>
        <rFont val="Arial"/>
        <family val="2"/>
      </rPr>
      <t>Assumption &amp; constraints usually be recorded in external estimation file, sometimes in meeting with customer or mail..</t>
    </r>
  </si>
  <si>
    <t>- Main processes are: Requirement, Design, Coding, Test, Project Management, Unit Test, Review and others that consume &gt;10% of total project effort
- Check with PPM if PPM is available for the project segment
Verification method
- Interview PM and confirm by evidence.
Note: this item is N/A and no need deviation if OSDC/maintenance project which customer send requirements little by little during project duration</t>
  </si>
  <si>
    <t>Does the schedule for baseline/milestone/project end date follow FSOFT rule?</t>
  </si>
  <si>
    <t xml:space="preserve">- Verify if all DP actions as defined in DP Plan is scheduled together with PIC.
Note: 
- DP actions include: CAR meeting, using tool for product creation, inform common defect in each stage,...
- Very short project can skip DP plan if using tailoring </t>
  </si>
  <si>
    <t xml:space="preserve">1. Customizing checklist is default if the project has review action for mandatory product as SRS, DD, HLD, ADD, TP, TC, Source code.
2. Item is N/A if:
 + The project only apply process, template of  FSOFT
 + Apply tailoring about review using experience without checklist
 </t>
  </si>
  <si>
    <r>
      <t xml:space="preserve">Create work products as: URD/ SRS/ Design/ Source Code/ Test Plan/ TC/ Test data/ Test report/ Installation Guide/ User Manual……. </t>
    </r>
    <r>
      <rPr>
        <strike/>
        <sz val="10"/>
        <color theme="1"/>
        <rFont val="Arial"/>
        <family val="2"/>
      </rPr>
      <t xml:space="preserve">
</t>
    </r>
  </si>
  <si>
    <t xml:space="preserve">Review work products as: URD/SRS/Design/ Source Code/ Test Plan/ TC/ Test data/Installation Guide/ User Manual
</t>
  </si>
  <si>
    <t xml:space="preserve">Review work products as: Test Plan/ TC/Test design/Test script/ Test data/Installation Guide/ User Manual
</t>
  </si>
  <si>
    <t>DAR mandatory if:
 1.when  the  project  team  develops  proposal  or  creates  architecture 
design: Technical solution alternatives should be developed, evaluated and selected  following DAR process.  It  is mandatory  for making decision  on  architecture design. (Refer to Guideline _Technical Solution).
2.Define Product Integration Sequence: DAR process should be followed strictly for development projects if: 
-  The estimated effort over 1000 mds, and  
-  The integration process is complicated and risky so that Big Bang strategy should not be applied (e.g.: product components are developed  in parallel by different  teams or 
sub-teams) .(Refer to  Guideline Product Integration).
3.For Selecting Training Supplier.
4. For Selecting Supplier as buying tools : testing/review...
If project is not in any above case, then this item will be N/A and note as Out of scope.</t>
  </si>
  <si>
    <t xml:space="preserve">Correct  work products as: URD/SRS/Design/ Source Code/ Test Plan/ TC/ Test data/Installation Guide/ User Manual/ Other work products that delivered to customer…
</t>
  </si>
  <si>
    <t>Training is considered if:
1. Project has new member or skills/experiences of current members not meeting the required skills. 
2. Skills and experiences of member in WO &lt; required skills and experiences in internal estimation file.
3. Interview PM and member to evaluate the difficulty of requirement and find out it is difficult to complete the requirement because of current shortage skill of member.</t>
  </si>
  <si>
    <t>1. Member includes PM, PTL, Team lead , CC, Dev, Design, Comtor, Tester, BA, SM….
2. Check HR information in FI/ WO /Organization that information is fulfilled.</t>
  </si>
  <si>
    <t>Are risks analyzed &amp; prioritized?</t>
  </si>
  <si>
    <t>Actions and person-in charge of each mitigation action.
Risk Response Plan include mitigation action and contingency action .
Mitigation plan is required for Medium and High Priority Risks (risks that have exposure is in range 0.91 -10).</t>
  </si>
  <si>
    <t>1. Guideline_Product Integration
2. Note: 
a. A  separated  product  integration  plan  should  be  created  using  FSOFT  Product  Integration  plan 
template if the following criteria are met: 
-  Project is in Development lifecycle and its estimated effort is over 1000 mds  
-  The integration sequence is not Big Bang strategy 
In other cases, Integration plan may be merged to project plan or test plan.  
b. item is N/A and do not get  deviation if Integration test is out of scope.
c. Integration plan defines in FI/PP/ Pro.Dev.Approach.
d. Big bang integration: 
- Big-bang integration is actually Implemented codes all, then integrate. 
- Code and test each module separately 
- Link all modules together, test product as a whole.
e. Incremental  Integration:
- We write and  test program  into small components and combine  the components one at a time.
       + Develop one small component
       + Design, code, test and debug a component 
       + Integrate the new component with the skeleton.
       + Repeat the step 2 until all product is completed.</t>
  </si>
  <si>
    <t>1.Guideline_Process Tailoring.
2.The project have to do offline review the tailoring/deviation. 
3. Note:  
a. Tailoring/deviation of the project usually group review in Kick off meeting 
b. Reviewer: SM, members, QA, QAL, QAMNGs, OM
c. Approval: 
'-  Tailored: Changes from standard processes, which follow tailoring guidelines. The tailorings are documented in Project plan and reviewed when the project plan is reviewed by the relevant people as defined in RADIO. 
'-  Deviation: Changes from standard processes, which do not follow tailoring guidelines. Deviations are required to be reviewed with FSU QAM and approved by Process owner (Software processes: FSU OM; Quality processes: FSU QAM).
Deviations related to Standard Objective metrics or data (DMS, TS, LOC, ...) need approvals from FSOFT QAM.
FSU QAM is single contact point with FSOFT QAM for Tailoring/Deviation (FSU QAM has to review Tailoring/Deviation with project QA &amp; PM, then contact with FSOFT QAM for approval).
'Note for software processes:
- If deviations are rejected by FSU QAM and the project does not agree with FSU QAM opinion, the deviation will be submitted to FSU OM for final decision.
     + FSU OM:  Software processes 
     + FSU QAM: Quality processes
     + FSOFT QAM approve with deviation  related to Objective metrics or data (DMS, TS, LOC, ...).
FSU QAM is single contact point with FSOFT QAM for Tailoring/Deviation (FSU QAM has to review Tailoring/Deviation with project QA &amp; PM, then contact with FSOFT QAM for approval).
- If deviations about software processes are reviewed with FSU QAM and FSOFT QAM agrees with the deviation, the deviations are considered as approved. Approval from Operation Manager is not required in this case
- If deviations about software processes are rejected by FSU QAM and the project does not agree with FSU QAM opinion, the deviation will be submitted to FSU OM for final decision
     + SC OM for projects of rank A   
     + OM at BU level for projects of rank B, C, D.</t>
  </si>
  <si>
    <t>At a minimum, the following project Information shall be up-to-date:
- WO: Work Order/ Information, WO/Stage &amp; Deliv, WO/Metrics, WO/ Organization.
- Project Plan: PP/Information, PP/Deliv &amp; Depend, PP/ Organization, PP/ Pro.Dev. Approach, PP/Quality Mngt, PP/ Infrastructure, PP/ training , PP/ Com. &amp; Reporting</t>
  </si>
  <si>
    <r>
      <t xml:space="preserve">Project Process Documents such as: Standards, Guidelines, Templates, Checklists </t>
    </r>
    <r>
      <rPr>
        <sz val="10"/>
        <color theme="1"/>
        <rFont val="Arial"/>
        <family val="2"/>
      </rPr>
      <t>that project customized, or required by customer, etc.</t>
    </r>
  </si>
  <si>
    <t xml:space="preserve">Refer to Process_Configuration Management  
Note:
 - Check information in FI/PP/Infrastructure and CM report/ CI identification .
 - Check information in CM plan at 2.2 section
</t>
  </si>
  <si>
    <t>Database Management System (DBMS)</t>
  </si>
  <si>
    <t>Tool defined here are test tool, tool for code review,... but not include standard tool of FSOFT as FI, DMS, TS..</t>
  </si>
  <si>
    <t xml:space="preserve">1.Check with Proposal, Statement of Work, Contract, Purchase Order, External Order, Project Requirement Specification, email, meeting minutes, and interview PM, etc
2. special request for internet connection usually comes from customer or testing action ..
3. special request for internet connection or other systems connection (customer's system, customer's partner's system,...) used for project development.
</t>
  </si>
  <si>
    <t>1.Check with Proposal, Statement of Work, Contract, Purchase Order, External Order, Project Requirement Specification, email, meeting minutes, and interview PM, etc
2. Special request for internet connection usually come from customer or testing action ..
3. Special request for internet connection or other systems connection (customer's system, customer's partner's system,...) used for project development.
4. Check information in CM plan at 2.2 section
5. Default reviewer: ISM Head, IT Head, Admin Head
Refer to FS RADIO
Check evidence by emails, meeting minutes</t>
  </si>
  <si>
    <t>QA should guide PM when PM transferring Security rules and procedures, he may discuss about the impact of security incident if it happened. This action help member to aware the importance of security rule compliance.
For ISM incident, PM/QA can get information from ISM Department for reference.</t>
  </si>
  <si>
    <t>&lt;Insert row above and copy formula of Column H&gt;</t>
  </si>
  <si>
    <t>1. Guideline_Software Project Management Procedure
2. Information required is as per Template_Risk Management Sheet: risk description, action plan: deadline &amp; PIC and status.</t>
  </si>
  <si>
    <t xml:space="preserve">1. Are actions to deal with Risk discussed and agreed by relevant people?
2.  Is risk information (status, mitigation action..) updated adequately in Risk list if needed?
</t>
  </si>
  <si>
    <t>Are Issues irresolvable by the assigned people/relevant stakeholders:
- Escalated to the appropriate managers and
- Followed up to closure?</t>
  </si>
  <si>
    <r>
      <t xml:space="preserve">- Are actions of NC/OB/CC defined &amp; implemented on time ? 
</t>
    </r>
    <r>
      <rPr>
        <strike/>
        <sz val="10"/>
        <rFont val="Arial"/>
        <family val="2"/>
      </rPr>
      <t/>
    </r>
  </si>
  <si>
    <t>Refer to Guideline_Software Project Management Procedure.
Check verified evidence by emails, meeting minutes, call log…</t>
  </si>
  <si>
    <t>Does security rules implementation follow PP or project own rules?</t>
  </si>
  <si>
    <t>Access right of non-project team members (ex: auditor, external reviewer, etc) must be get permission of PM and granted in the pre-defined duration, then revoked at expiry date by CC. As soon as a member is out of the project, his or her access right is revoked also.
Evidence: call log, mail, QA random check</t>
  </si>
  <si>
    <t>In case member out of project, are the following actions implemented timely?
- Access right of the member to project folder, internet connection, specific server… are removed
- All project CIs in his/her workstations are deleted.
- His/her account is removed from project group mail</t>
  </si>
  <si>
    <t>Refer Guideline_Software Project Management Procedure - sheet Monitoring - section Security Management.
Evidence: call log, mail, QA random check</t>
  </si>
  <si>
    <t>For Project Assets that provided by customer/other group/other project/ own group</t>
  </si>
  <si>
    <t>Is a short description of support problem described in mail content?</t>
  </si>
  <si>
    <t>Having PM/PTL’s comments on the task result. It may be via mail or directly in daily meeting, etc..</t>
  </si>
  <si>
    <t>&lt;Insert row above and copy formula of column H&gt;</t>
  </si>
  <si>
    <t>- All Req items and CRs are added fully
- Requirement status is updated such as Committed, Designed, Coded, Tested, Deployed, Accepted, etc
Verification method
- RM Sheet could be either in excel file or in FSOFT Insight or other forms, as long as the information is adequate in accordance with the standard template.
- Compare requirement status recorded in RM Sheet with their actual status
- Project Schedule/Task list could be used instead of RM sheet for this checked item If all requirements are recorded fully there.
Note: Project needs to define a tailoring if using any tool other than FI &amp; RM sheet template.</t>
  </si>
  <si>
    <t>- Req items and CRs are mapped with the sections of corresponding documents
Verification method
- Verify if all customer requirements related to product from original documents are recorded
- Verify if traceability matrix is available for software requirement-customer requirement
- Verify if traceability matrix is available for software requirement-design (pay attention on design interfaces to hardware, user, operator and software interface requirements and non-functional requirements)
- Verify if traceability matrix is available for detail design-unit test case, detail design-source code
- Verify if traceability matrix is available for software requirements, design - integration test case, system test case (pay attention on 
- Project Schedule/Task list could be used instead of RM sheet for this checked item If all requirements/CRs are recorded fully there and Requirements/CRs are mapped with the sections of corresponding documents.
Note: If project use different tool of FI, RM sheet then it need tailoring/deviation for this.</t>
  </si>
  <si>
    <t>&lt;Insert row above and copy formula of  column H&gt;</t>
  </si>
  <si>
    <t>Is information of tools and technology fully recorded for Operating System (OS), Database Management System (DBMS), Tools, Hardware?</t>
  </si>
  <si>
    <t>&lt;Insert row above and copy formula of column  H&gt;</t>
  </si>
  <si>
    <t>Are project rank,  Business Domain, and Application type correctly defined?</t>
  </si>
  <si>
    <t>Is Acceptance record of customer saved in the folder of project ?</t>
  </si>
  <si>
    <t>Do Project Assets saved in backup-PQA server include:
- Acceptance note
- Post-mortem records (report &amp; MoM)
- Customer satisfaction survey
- Customer complain records (if any)
- CAR records (Report &amp; MoM) (if any)
- Know-how records</t>
  </si>
  <si>
    <t>Are information assets stored on company server by CC?</t>
  </si>
  <si>
    <t>When received Customer‘s physical assets , Is Assets Handover Note available and informed to Assets Management Officer?</t>
  </si>
  <si>
    <t>When returning Customer‘s physical assets, at project closure time or due-date of returning assets, is a similar handover note available and informed to Assets Management Officer?</t>
  </si>
  <si>
    <t>Has assets transmission been conducted in accordance with customer requirements and CM process ?</t>
  </si>
  <si>
    <t xml:space="preserve">
Does Supporter introduce his/her name in mail?</t>
  </si>
  <si>
    <t>Process (Test, Requirement) &amp; Review checklist?</t>
  </si>
  <si>
    <t>Process (code, test, design, requirement) &amp; Review checklist?</t>
  </si>
  <si>
    <t>Project Process Documents such as: Standards, Guidelines, Templates, Checklists that project customized, or required by customer, etc.</t>
  </si>
  <si>
    <t>Infrastructure (status, server,
 version of software, tools, development environments,
deployment environments, test environments,
equipments , specific internet connection, ...)</t>
  </si>
  <si>
    <t>Have ALL comments on the task result been
tracked and fixed before task is closed?</t>
  </si>
  <si>
    <t>Baseline 3</t>
  </si>
  <si>
    <t>Baseline 4</t>
  </si>
  <si>
    <t>V a.c</t>
  </si>
  <si>
    <t xml:space="preserve">To make new questions work with macro-filter, select a QuestionType in the B column corresponding to the Project Category </t>
  </si>
  <si>
    <t>P63</t>
  </si>
  <si>
    <t>CAR</t>
  </si>
  <si>
    <t xml:space="preserve">       * Note: 
       + For very short projects:
PCV v1.0 shall be reviewed and approved within 7 working days from the Project Start Date (sheet Planning, Weekly shall be completely customized, reviewed and  approved in this version). PCV v2.0 shall be reviewed and approved within 15 working days from the Project Start Date (sections Monthly, Baseline and Closing are completely customized, reviewed and approved).The later versions of PCV checklist will be revised during project life cycle, when appropriate. 
       + For other projects:
PCV v1.0 shall be reviewed and approved within 10 working days from the Project Start Date (sheet Planning, Weekly shall be completely customized, reviewed and approved in this version). PCV v2.0 shall be reviewed and approved within 22 working days from the Project Start Date (sections Monthly, Baseline and Closing are completely customized, reviewed and approved).The later versions of PCV checklist will be revised during project life cycle, when appropriate. 
</t>
  </si>
  <si>
    <r>
      <t xml:space="preserve">During project execution time, at pre-defined time, project QA conducts process compliance verification using the defined checklist through various means: review implementation records, interview practitioners, collect objective evidences. Then, project QA records observations/findings in "Observation" column, identifies issues &amp; suggested corrective action and records in "Issue" section of "Project Summary" sheet (mandatorily required for items = 0 &amp; 50).
</t>
    </r>
    <r>
      <rPr>
        <b/>
        <i/>
        <sz val="10"/>
        <rFont val="Arial"/>
        <family val="2"/>
      </rPr>
      <t/>
    </r>
  </si>
  <si>
    <r>
      <rPr>
        <b/>
        <sz val="10"/>
        <color theme="1"/>
        <rFont val="Arial"/>
        <family val="2"/>
      </rPr>
      <t>Note:</t>
    </r>
    <r>
      <rPr>
        <sz val="10"/>
        <color theme="1"/>
        <rFont val="Arial"/>
        <family val="2"/>
      </rPr>
      <t xml:space="preserve"> Project QA has to record the baseline date of check result in “Baseline Date of Check result” row then the check result will be calculated.</t>
    </r>
  </si>
  <si>
    <t xml:space="preserve">1. For very short projects: 15 working days from the Project Planned Start Date.
2. For other projects: 22 working days from Project Start Date OR SRS v1.0 approval date
3.OR when project completed replanning
</t>
  </si>
  <si>
    <t>within 5 working days from PCV Result Baseline</t>
  </si>
  <si>
    <t>Weekly, at the pre-defined date as per agreement between PM &amp; project QA</t>
  </si>
  <si>
    <t>within 2 working days from PCV Result Baseline</t>
  </si>
  <si>
    <t>Monthly, at the  pre-defined date as per agreement between PM &amp; project QA</t>
  </si>
  <si>
    <t>15 working days from Post mortem meeting date</t>
  </si>
  <si>
    <t>Log issues detected into PMS/FI2.0 and follow up the issues &amp; actions to closure in accordance with Process_Correction and Process_Prevention. Escalate to Project QA Lead and FSU QA Manager as appropriate when the issues not resolvable with the responsible people or when the issues are pending more than 1 week from the deadline.</t>
  </si>
  <si>
    <t xml:space="preserve">1. Guideline_Software Project Management Procedure, sheet Planning.
- A formal meeting must be held for projects ranked A/B/C and first new projects (new product and/or new customer). The meeting must be held within 7 working days from the Project Start Date.  Required participants of the meeting are: Senior Manager, Operation Manager, PM and QA Representatives
- This meeting is optional and could be combined with the project kick-off meeting for project ranked D that are not first new project (new product and/or new customer) or continuous projects 
- Pre-planning meeting can be skipped for very short projects.(The project is very short if the project duration is shorter than 2 month)
The meeting includes, but not limited to:
- Validate the project objectives. 
- Discuss about the project requirements and key deliverables. 
- Discuss about the contract. 
- Discuss and agree on the project approach &amp; processes
- Discuss about the project estimates &amp; schedule. 
- Discuss about the project organization
- Discuss about the project training plan
- Discuss about the high-level constraints and assumptions 
- Discuss about the project acceptance criteria
- Discuss about project risks 
- Discuss any other unrecorded customer or project expectations. </t>
  </si>
  <si>
    <t>Standard: 
1. Duration between 2 baselines shall be &lt;= 2 months, 
2. Duration between 2 milestones shall be &lt;=3 months for Maintenance or OSDC projects that have been operating &gt;= 1 year.
3. Project milestone review meeting shall be scheduled within 10 working days after the day on which the milestone criteria is committed to be satisfied
4. Project committed end date (is the day on which post-mortem meeting is conducted) shall be scheduled within 10 working days after the day on which the final release is committed to be delivered.</t>
  </si>
  <si>
    <t>Standard: 
1. Duration between 2 baselines shall be &lt;= 2 months, 
2. Duration between 2 milestones shall be &lt;= 3 months for Test projects that have been operating &gt;= 1 year.
3. Project milestone review meeting shall be scheduled within 10 working days after the day on which the milestone criteria is committed to be satisfied
4. Project committed end date (is the day on which post-mortem meeting is conducted) shall be scheduled within 10 working days after the day on which the final release is committed to be delivered.</t>
  </si>
  <si>
    <t>Standard: 
1. Duration between 2 baselines shall be &lt;= 2 months, 
2. Duration between 2 milestones shall be &lt;= 2 months for all projects, except Maintenance, Test or OSDC projects that have been operating &gt;= 1 year, it shall be 3 months.
3. Project milestone review meeting shall be scheduled within 10 working days after the day on which the milestone criteria is committed to be satisfied
4. Project committed end date (is the day on which post-mortem meeting is conducted) shall be scheduled within 10 working days after the day on which the final release is committed to be delivered.
5. Notes: Project should get deviation about baseline and milestone as below:
- Project only have 2 baseline point of time: Start-up and Wrap-up baseline
- Duration between 2 milestones should be 3 months.</t>
  </si>
  <si>
    <t xml:space="preserve">Refer to 1.4 of  Process_Configuration Management.
 CC must finish these below tasks within 05 working days after WO v1.0 is approved :
+Get CM Plan reviewed and approved 
+Project team is aware of CM process &amp; project CM Plan...
</t>
  </si>
  <si>
    <t>Guideline_Software Project Management Procedure.
Note: Kick-off meeting must be held within 10 working days from the Project Started Date
- For very short projects, kick-off meeting must be held within 07 working days from Project Start Date.
This meeting includes, but not limited to:
  - Project overview, background, customer and project importance, etc
  - Presentation of project deliverable  
  - Presentation of project master schedule &amp; plan
  - Review and confirm project goals &amp; objectives in term (QPPO)
  - Discuss project dependencies
  - Discuss project approach &amp; processes, particularly on quality plan, training plan
  - Discuss on initial project risks
  - Introduce project team, organization structure, role and responsibility
  - Discuss and confirm communication plan
  - Presentation of project/team evaluation schema together with reward&amp; penalty schema</t>
  </si>
  <si>
    <t xml:space="preserve"> For very short projects: 
 - WO is v1.0 reviewed, approved within 07 working days from Project Start Date
 For other projects:
 - WO v1.0 is reviewed, approved within 10 working days from Project Start Date
</t>
  </si>
  <si>
    <t xml:space="preserve"> For very short projects: 
- PP v1.0 is reviewed and approved within 15 working days from Project Start Date.
 For other projects:
- PP v1.0 is reviewed and approved within 22 working days from Project Start Date or equal to SRS v1.0 approval date</t>
  </si>
  <si>
    <t xml:space="preserve">Configuration Management </t>
  </si>
  <si>
    <r>
      <t xml:space="preserve">Is duration of each task </t>
    </r>
    <r>
      <rPr>
        <b/>
        <sz val="10"/>
        <color theme="1"/>
        <rFont val="Arial"/>
        <family val="2"/>
      </rPr>
      <t>&lt;=</t>
    </r>
    <r>
      <rPr>
        <sz val="10"/>
        <color theme="1"/>
        <rFont val="Arial"/>
        <family val="2"/>
      </rPr>
      <t xml:space="preserve"> 03 working days (recommended 01 working day per task)?</t>
    </r>
  </si>
  <si>
    <t>QA should convince PM to create a task duration within a working day for timely control</t>
  </si>
  <si>
    <r>
      <rPr>
        <sz val="10"/>
        <color theme="1"/>
        <rFont val="Arial"/>
        <family val="2"/>
      </rPr>
      <t xml:space="preserve">Sufficient effort: actual effort of requirement analysis  in TS &gt;= effort of requirement analysis in estimation/schedule file
</t>
    </r>
  </si>
  <si>
    <t>Guideline_Software Project Management Procedure
Milestone Report is considered as on-time when 
the report is reviewed and approved within 10 working days from the  date on which the milestone criteria is satisfied.</t>
  </si>
  <si>
    <t>Milestone Review Meeting is considered as on-time conducted when the meeting is conducted within 10 working days from  the date on which the milestone criteria is satisfied</t>
  </si>
  <si>
    <t xml:space="preserve">Effort Estimation, WO, Project Plan, Project Schedule are considered as revised on-time when they are reviewed and approved within 10 working days from the date on which the milestone criteria is satisfied </t>
  </si>
  <si>
    <r>
      <t xml:space="preserve">Refer to section 2.4 in CM plan </t>
    </r>
    <r>
      <rPr>
        <strike/>
        <sz val="10"/>
        <color theme="1"/>
        <rFont val="Arial"/>
        <family val="2"/>
      </rPr>
      <t xml:space="preserve">
</t>
    </r>
  </si>
  <si>
    <t>1. Guideline_Software Project Management Procedure
2. Process_Contract Management
Verification method
- Interview PM and confirm evidences(meeting minutes or conclusions or follow-up action items). If PM said that there is no MM but when QA confirm with SM, if the information is consistent then this item is OK.
3.Note: 
+ This item is N/A and no need deviation if:
- PM join bidding, OR
- PM was PM/SM of the same customer, same domain and same scope of previous project.
+ This item is N/A  if the project has the tailoring # T62 (PM has &gt;= 2 years experience in working with customer/domain or ODC projects, and project rank is C/D)</t>
    <phoneticPr fontId="0" type="noConversion"/>
  </si>
  <si>
    <t>Note: This item is N/A: PM was PM/SM of the same customer, same domain and same scope of previous project.</t>
    <phoneticPr fontId="0" type="noConversion"/>
  </si>
  <si>
    <t xml:space="preserve">1. Guideline_Software Project Management Procedure
2.Process_Requirement Development &amp; Management.
 Examples:
Ex1: Software package have to pass all IT TCs that customer approved.
Ex2:Software package is implemented all requirements that defined in SRS.
 + No penalty for ISMS.
3. Note: this item is N/A and no need deviation if OSDC/maintenance project which customer send requirements little by little during project duration
4. Evidence of validation or confirmation of customer may be in Minutes of Meeting, or approval of estimation, proposal in which acceptance criteria recorded.
</t>
    <phoneticPr fontId="0" type="noConversion"/>
  </si>
  <si>
    <t>Note: this item is N/A and no need deviation if OSDC/maintenance project which customer send requirements little by little during project duration</t>
    <phoneticPr fontId="0" type="noConversion"/>
  </si>
  <si>
    <t>Are deliverable acceptance criteria validated and confirmed by PM and customer?</t>
    <phoneticPr fontId="0" type="noConversion"/>
  </si>
  <si>
    <t>[Deviation]Do đặc thù dự án là ODC/maintain, đã chạy sang phase thứ 4 và KH request công việc rải rác theo từng tháng nên không cần confirm deliverable acceptance criteria</t>
    <phoneticPr fontId="0" type="noConversion"/>
  </si>
  <si>
    <t>T63: The project is next phase of other project, scope is not changed, PM is the same. Skip pre-planning meeting</t>
    <phoneticPr fontId="0" type="noConversion"/>
  </si>
  <si>
    <t>The project is next phase of other project, scope is not changed, PM is the same.</t>
    <phoneticPr fontId="0" type="noConversion"/>
  </si>
  <si>
    <t>Skip pre-planning meeting</t>
    <phoneticPr fontId="0" type="noConversion"/>
  </si>
  <si>
    <t>T63</t>
    <phoneticPr fontId="0" type="noConversion"/>
  </si>
  <si>
    <t>[Deviation]Do đặc thù dự án là ODC, Kh request công việc rải rác theo từng tháng nên không thể tạo file estimate cho toàn dự án theo chuẩn thông thường.Dự án chỉ thực hiện tạo Schedule cho từng REQ khi nhận order của khách hàng thay cho estimation và RM Sheet</t>
    <phoneticPr fontId="0" type="noConversion"/>
  </si>
  <si>
    <t>1. Guideline_Software Project Management Procedure
 2. Guideline_Software Estimation
 3. Template_WBS Estimation
 4.Note: this item is N/A and no need deviation if OSDC/maintenance project which customer send requirements little by little during project duration</t>
    <phoneticPr fontId="0" type="noConversion"/>
  </si>
  <si>
    <t>1. Guideline_Software Project Management Procedure
2. Guideline_Software Estimation
3. Template_WBS Estimation
Verification method
- Interview PM and confirm by evidence.
4.Note: this item is N/A and no need deviation if OSDC/maintenance project which customer send requirements little by little during project duration</t>
    <phoneticPr fontId="0" type="noConversion"/>
  </si>
  <si>
    <t>[Deviation]Do đặc thù dự án là ODC, Kh request công việc rải rác theo từng tháng nên deliver plan sẽ được commit trực tiếp với KH qua meeting khi có req từ KH, đồng thời products sẽ được add dần lên jira trong quá trình làm</t>
    <phoneticPr fontId="0" type="noConversion"/>
  </si>
  <si>
    <t>[Deviation]Do đặc thù dự án là ODC/maintain, đã chạy sang phase thứ 4 và KH request công việc rải rác theo từng tháng nên không cần confirm deliverable acceptance criteria</t>
    <phoneticPr fontId="0" type="noConversion"/>
  </si>
  <si>
    <t>[Deviation]Do đặc thù dự án là ODC, Kh request công việc rải rác theo từng tháng nên không thể tạo file estimate cho toàn dự án theo chuẩn thông thường.Dự án chỉ thực hiện tạo Schedule cho từng REQ khi nhận order của khách hàng thay cho estimation và RM Sheet</t>
    <phoneticPr fontId="0" type="noConversion"/>
  </si>
  <si>
    <t>[Deviation]Do đặc thù dự án là ODC, Kh request công việc rải rác theo từng tháng nên không thể tạo file estimate cho toàn dự án theo chuẩn thông thường.Dự án chỉ thực hiện tạo Schedule cho từng REQ khi nhận order của khách hàng thay cho estimation và RM Sheet</t>
    <phoneticPr fontId="53"/>
  </si>
  <si>
    <t xml:space="preserve">Includes:
1. Project Planning: WO, PP, CM Plan, Kick off meeting...
2. Project Tracking: Progress Review, Reporting, Milestone review, etc.
</t>
    <phoneticPr fontId="0" type="noConversion"/>
  </si>
  <si>
    <t>Note: Project Planning: WO, PP, CM Plan, Kick off meeting… sẽ được add lên Project plan</t>
    <phoneticPr fontId="0" type="noConversion"/>
  </si>
  <si>
    <t xml:space="preserve">[Deviation]Không thực hiện DP do dự án ODC/Maintian, size nhỏ(4 member), PM và toàn bộ member là những người đã làm từ phase trước </t>
    <phoneticPr fontId="0" type="noConversion"/>
  </si>
  <si>
    <t>T36: Reviewers are &gt; 2 years experience in reviewed topics. Review checklists could be skipped for the reviewers, but review evidences are requested.</t>
    <phoneticPr fontId="0" type="noConversion"/>
  </si>
  <si>
    <t>Reviewers are &gt; 2 years experience in reviewed topics</t>
    <phoneticPr fontId="0" type="noConversion"/>
  </si>
  <si>
    <t>Review checklists could be skipped for the reviewers, but review evidences are requested.</t>
    <phoneticPr fontId="0" type="noConversion"/>
  </si>
  <si>
    <t>[Deviation]Dự án không quản lý task của comtor, Khi nào có task cần dịch sẽ request comtor</t>
    <phoneticPr fontId="0" type="noConversion"/>
  </si>
  <si>
    <t>T60</t>
  </si>
  <si>
    <t>PM has &gt;= 2 years experience in working with customer/domain or ODC projects, and project rank is C/D</t>
  </si>
  <si>
    <t>PM can approve project estimation/schedule instead of OM/SM.</t>
  </si>
  <si>
    <t>T60: PM has &gt;= 2 years experience in working with customer/domain or ODC projects, and project rank is C/D. PM can approve project estimation/schedule instead of OM/SM.</t>
    <phoneticPr fontId="0" type="noConversion"/>
  </si>
  <si>
    <t>Out of scope, do dự án chỉ thực hiện UT</t>
    <phoneticPr fontId="0" type="noConversion"/>
  </si>
  <si>
    <t>[Deviation] Không thực hiện group review, chỉ cần QAL thảo luận với PM và QAM approve qua mail</t>
    <phoneticPr fontId="0" type="noConversion"/>
  </si>
  <si>
    <t>Out of scope, do dự án chỉ thực hiện UT</t>
    <phoneticPr fontId="0" type="noConversion"/>
  </si>
  <si>
    <t>Note: Không có thiết bị của KH</t>
  </si>
  <si>
    <t>Out of scope, do dự án chỉ thực hiện UT</t>
    <phoneticPr fontId="0" type="noConversion"/>
  </si>
  <si>
    <t>Scope: không có SP này</t>
  </si>
  <si>
    <t>Note: project CC do not needs specific IT skill</t>
  </si>
  <si>
    <t>[Deviation]Do dự án nối phase nên post-mortem của phase trước là kick off của phase sau</t>
    <phoneticPr fontId="0" type="noConversion"/>
  </si>
  <si>
    <t xml:space="preserve">[Deviation] Gộp WO vào PP do các mục trong WO đã được include trong PP </t>
    <phoneticPr fontId="0" type="noConversion"/>
  </si>
  <si>
    <t>T36</t>
    <phoneticPr fontId="53"/>
  </si>
  <si>
    <t>[Deviation] Không thực hiện group review do dự án size nhỏ, nối phase, PM là người có kinh nghiệm nên chỉ cần thông nhất cách hiểu của team trong daily/weekly meeting</t>
    <phoneticPr fontId="0" type="noConversion"/>
  </si>
  <si>
    <t>T18:Some QA activities won't be implemented by QA members. But detail responsibilities and services of QA must be identified in SLA and confirmed  between QA and Project team and approved by QA Manager.
(For examples: QA only controls the processes, not products. Final inspection is implemented by PM/PTL,….)</t>
    <phoneticPr fontId="0" type="noConversion"/>
  </si>
  <si>
    <t>T18</t>
  </si>
  <si>
    <t xml:space="preserve">Project 's characteristic </t>
  </si>
  <si>
    <t>Some QA activities won't be implemented by QA members. But detail responsibilities and services of QA must be identified in SLA and confirmed  between QA and Project team and approved by QA Manager.
(For examples: QA only controls the processes, not products. Final inspection is implemented by PM/PTL,….)</t>
    <phoneticPr fontId="0" type="noConversion"/>
  </si>
  <si>
    <t>[Deviation]: Hoạt động review sẽ được đánh giá tại Milestone dựa trên kết quả review của PM</t>
    <phoneticPr fontId="0" type="noConversion"/>
  </si>
  <si>
    <t>Note: Dự án sẽ không đánh giá hiệu quả test, do out of scope của dự án</t>
    <phoneticPr fontId="0" type="noConversion"/>
  </si>
  <si>
    <t xml:space="preserve">[Deviation]Không thực hiện DP do dự án ODC/Maintian, size nhỏ(4 member), PM và toàn bộ member là những người đã làm từ phase trước </t>
    <phoneticPr fontId="0" type="noConversion"/>
  </si>
  <si>
    <t>Out of scope, dự án chỉ thực hiện UT</t>
    <phoneticPr fontId="0" type="noConversion"/>
  </si>
  <si>
    <t>Không có device của KH</t>
    <phoneticPr fontId="0" type="noConversion"/>
  </si>
  <si>
    <t>[Deviation]: Cho phép các task sau có duration  &gt;3  ngày:
- Các task liên quan đến manage hay các task mang tính chất lặp lại của PM, QA, comtor
Các task của member trong dự án &gt;5 days</t>
    <phoneticPr fontId="0" type="noConversion"/>
  </si>
  <si>
    <t>[Deviation]Do đặc thù dự án là ODC, KH request công việc theo từng tháng và kéo dài nên dự án sẽ thực hiện cắt phase 6 tháng 1 lần nên deadline của post morterm là ngày actual end date</t>
    <phoneticPr fontId="0" type="noConversion"/>
  </si>
  <si>
    <t>[Deviation]Do đặc thù dự án là ODC, kéo dài và sẽ thực hiện cắt phase 6 tháng 1 lần nên deadline của wrap up baseline sẽ được tính within 5 working days từ ngày cắt phase.</t>
    <phoneticPr fontId="0" type="noConversion"/>
  </si>
  <si>
    <t>Applicable Criteria</t>
  </si>
  <si>
    <t>Tailoring Permission</t>
  </si>
  <si>
    <t>Do đặc thù dự án là ODC/maintain, đã chạy sang phase thứ 4 và KH request công việc rải rác theo từng tháng</t>
    <phoneticPr fontId="53"/>
  </si>
  <si>
    <t>Không cần confirm deliverable acceptance criteria</t>
    <phoneticPr fontId="53"/>
  </si>
  <si>
    <t>Do đặc thù dự án là ODC, Kh request công việc rải rác theo từng tháng nên không thể tạo file estimate cho toàn dự án theo chuẩn thông thường</t>
    <phoneticPr fontId="53"/>
  </si>
  <si>
    <t>Dự án chỉ thực hiện tạo Schedule cho từng REQ khi nhận order của khách hàng thay cho estimation và RM Sheet</t>
    <phoneticPr fontId="53"/>
  </si>
  <si>
    <t>Do đặc thù dự án là ODC, Kh request công việc rải rác theo từng tháng</t>
    <phoneticPr fontId="53"/>
  </si>
  <si>
    <t>Deliver plan sẽ được commit trực tiếp với KH qua meeting khi có req từ KH, đồng thời products sẽ được add dần lên jira trong quá trình làm</t>
    <phoneticPr fontId="53"/>
  </si>
  <si>
    <t>Không thực hiện DP</t>
    <phoneticPr fontId="53"/>
  </si>
  <si>
    <t xml:space="preserve">Do dự án ODC/Maintian, size nhỏ(4 member), PM và toàn bộ member là những người đã làm từ phase trước </t>
    <phoneticPr fontId="53"/>
  </si>
  <si>
    <t>Dự án không quản lý task của comtor, Khi nào có task cần dịch sẽ request comtor</t>
    <phoneticPr fontId="53"/>
  </si>
  <si>
    <t>Task dịch của comtor không nhiều, lẻ tẻ</t>
    <phoneticPr fontId="53"/>
  </si>
  <si>
    <t>Save effort for project</t>
    <phoneticPr fontId="53"/>
  </si>
  <si>
    <t>Do dự án nối phase</t>
    <phoneticPr fontId="53"/>
  </si>
  <si>
    <t xml:space="preserve">Gộp WO vào PP do các mục trong WO đã được include trong PP </t>
    <phoneticPr fontId="53"/>
  </si>
  <si>
    <t xml:space="preserve"> Không thực hiện group review tailoring/deviation chỉ cần QAL thảo luận với PM và QAM approve qua mail</t>
    <phoneticPr fontId="53"/>
  </si>
  <si>
    <t>Không thực hiện group review product</t>
    <phoneticPr fontId="53"/>
  </si>
  <si>
    <t>Do dự án size nhỏ, nối phase, PM là người có kinh nghiệm nên chỉ cần thông nhất cách hiểu của team trong daily/weekly meeting</t>
    <phoneticPr fontId="53"/>
  </si>
  <si>
    <t>Hoạt động review sẽ được đánh giá tại Milestone dựa trên kết quả review của PM</t>
    <phoneticPr fontId="53"/>
  </si>
  <si>
    <t>PM has &gt;= 2 years experience in working with customer/domain or ODC projects, and project rank is C/D</t>
    <phoneticPr fontId="53"/>
  </si>
  <si>
    <t>Cho phép các task sau có duration  &gt;3  ngày:
- Các task liên quan đến manage hay các task mang tính chất lặp lại của PM, QA, comtor
Các task của member trong dự án &gt;5 days</t>
    <phoneticPr fontId="53"/>
  </si>
  <si>
    <t>Dự án sẽ thực hiện cắt phase 6 tháng 1 lần nên deadline của post morterm là ngày actual end date</t>
    <phoneticPr fontId="53"/>
  </si>
  <si>
    <t>Do đặc thù dự án là ODC, KH request công việc theo từng tháng và kéo dài</t>
    <phoneticPr fontId="53"/>
  </si>
  <si>
    <t>Do đặc thù dự án là ODC, kéo dài và sẽ thực hiện cắt phase 6 tháng 1 lần</t>
    <phoneticPr fontId="53"/>
  </si>
  <si>
    <t>Deadline của wrap up baseline sẽ được tính within 5 working days từ ngày cắt phase.</t>
    <phoneticPr fontId="53"/>
  </si>
  <si>
    <t>Tailoring or deviation?</t>
    <phoneticPr fontId="53"/>
  </si>
  <si>
    <t>Deviation</t>
    <phoneticPr fontId="53"/>
  </si>
  <si>
    <t>Deviation 1</t>
    <phoneticPr fontId="53"/>
  </si>
  <si>
    <t>Deviation 2</t>
    <phoneticPr fontId="53"/>
  </si>
  <si>
    <t>Deviation 3</t>
  </si>
  <si>
    <t>Deviation 4</t>
  </si>
  <si>
    <t>Deviation 5</t>
  </si>
  <si>
    <t>Deviation 6</t>
  </si>
  <si>
    <t>Deviation 7</t>
  </si>
  <si>
    <t>Deviation 8</t>
  </si>
  <si>
    <t>Deviation 9</t>
  </si>
  <si>
    <t>Deviation 10</t>
  </si>
  <si>
    <t>Deviation 11</t>
  </si>
  <si>
    <t>Deviation 12</t>
  </si>
  <si>
    <t>Deviation 13</t>
  </si>
  <si>
    <t>Post-mortem của phase trước là kick off của phase sau</t>
    <phoneticPr fontId="53"/>
  </si>
  <si>
    <t>Tailoring &amp; Deviation</t>
  </si>
  <si>
    <t>MTIJODC20017</t>
    <phoneticPr fontId="10" type="noConversion"/>
  </si>
  <si>
    <t>FSU11.BU8</t>
    <phoneticPr fontId="10" type="noConversion"/>
  </si>
  <si>
    <t xml:space="preserve">MTIJ </t>
    <phoneticPr fontId="10" type="noConversion"/>
  </si>
  <si>
    <t>LongTT</t>
    <phoneticPr fontId="10" type="noConversion"/>
  </si>
  <si>
    <t>DungVD1</t>
    <phoneticPr fontId="10" type="noConversion"/>
  </si>
  <si>
    <t>HuyenTT3</t>
    <phoneticPr fontId="10" type="noConversion"/>
  </si>
  <si>
    <t>Tailoring</t>
    <phoneticPr fontId="53"/>
  </si>
</sst>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0.0"/>
    <numFmt numFmtId="177" formatCode="0.0%"/>
    <numFmt numFmtId="178" formatCode="[$-409]d\-mmm\-yy;@"/>
    <numFmt numFmtId="179" formatCode="[$-409]mmm\-yy;@"/>
    <numFmt numFmtId="180" formatCode="[$-409]d\-mmm;@"/>
    <numFmt numFmtId="181" formatCode="0.00_);[Red]\(0.00\)"/>
    <numFmt numFmtId="182" formatCode="[$-409]dd\-mmm\-yy;@"/>
    <numFmt numFmtId="183" formatCode="0_ "/>
    <numFmt numFmtId="184" formatCode="0_);[Red]\(0\)"/>
  </numFmts>
  <fonts count="55" x14ac:knownFonts="1">
    <font>
      <sz val="10"/>
      <name val="Arial"/>
      <family val="2"/>
    </font>
    <font>
      <sz val="10"/>
      <color theme="1"/>
      <name val="Arial"/>
      <family val="2"/>
    </font>
    <font>
      <sz val="10"/>
      <color theme="1"/>
      <name val="Arial"/>
      <family val="2"/>
    </font>
    <font>
      <sz val="10"/>
      <name val="Arial"/>
      <family val="2"/>
    </font>
    <font>
      <b/>
      <sz val="10"/>
      <name val="Arial"/>
      <family val="2"/>
    </font>
    <font>
      <sz val="10"/>
      <name val="Arial"/>
      <family val="2"/>
    </font>
    <font>
      <b/>
      <sz val="15"/>
      <color indexed="56"/>
      <name val="Calibri"/>
      <family val="2"/>
    </font>
    <font>
      <b/>
      <sz val="13"/>
      <color indexed="56"/>
      <name val="Calibri"/>
      <family val="2"/>
    </font>
    <font>
      <b/>
      <sz val="11"/>
      <color indexed="56"/>
      <name val="Calibri"/>
      <family val="2"/>
    </font>
    <font>
      <b/>
      <sz val="18"/>
      <color indexed="56"/>
      <name val="Cambria"/>
      <family val="1"/>
    </font>
    <font>
      <sz val="8"/>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0"/>
      <color indexed="8"/>
      <name val="Calibri"/>
      <family val="2"/>
    </font>
    <font>
      <sz val="10"/>
      <color indexed="10"/>
      <name val="Calibri"/>
      <family val="2"/>
    </font>
    <font>
      <b/>
      <i/>
      <sz val="10"/>
      <name val="Arial"/>
      <family val="2"/>
    </font>
    <font>
      <i/>
      <sz val="10"/>
      <name val="Arial"/>
      <family val="2"/>
    </font>
    <font>
      <sz val="10"/>
      <color indexed="8"/>
      <name val="Arial"/>
      <family val="2"/>
    </font>
    <font>
      <sz val="8"/>
      <color indexed="81"/>
      <name val="Tahoma"/>
      <family val="2"/>
    </font>
    <font>
      <i/>
      <sz val="10"/>
      <color indexed="8"/>
      <name val="Arial"/>
      <family val="2"/>
    </font>
    <font>
      <sz val="10"/>
      <color indexed="81"/>
      <name val="Tahoma"/>
      <family val="2"/>
    </font>
    <font>
      <u/>
      <sz val="10"/>
      <name val="Arial"/>
      <family val="2"/>
    </font>
    <font>
      <b/>
      <sz val="10"/>
      <color indexed="9"/>
      <name val="Arial"/>
      <family val="2"/>
    </font>
    <font>
      <sz val="10"/>
      <color indexed="10"/>
      <name val="Arial"/>
      <family val="2"/>
    </font>
    <font>
      <b/>
      <sz val="16"/>
      <name val="Arial"/>
      <family val="2"/>
    </font>
    <font>
      <strike/>
      <sz val="10"/>
      <name val="Arial"/>
      <family val="2"/>
    </font>
    <font>
      <b/>
      <sz val="8"/>
      <color indexed="81"/>
      <name val="Tahoma"/>
      <family val="2"/>
    </font>
    <font>
      <sz val="9"/>
      <color indexed="81"/>
      <name val="Tahoma"/>
      <family val="2"/>
    </font>
    <font>
      <b/>
      <sz val="10"/>
      <color indexed="10"/>
      <name val="Arial"/>
      <family val="2"/>
    </font>
    <font>
      <b/>
      <sz val="10"/>
      <color theme="0"/>
      <name val="Arial"/>
      <family val="2"/>
    </font>
    <font>
      <sz val="10"/>
      <color theme="0"/>
      <name val="Arial"/>
      <family val="2"/>
    </font>
    <font>
      <sz val="10"/>
      <color theme="1"/>
      <name val="Arial"/>
      <family val="2"/>
    </font>
    <font>
      <b/>
      <i/>
      <sz val="10"/>
      <color theme="0"/>
      <name val="Arial"/>
      <family val="2"/>
    </font>
    <font>
      <strike/>
      <sz val="10"/>
      <color theme="1"/>
      <name val="Arial"/>
      <family val="2"/>
    </font>
    <font>
      <sz val="16"/>
      <name val="Arial"/>
      <family val="2"/>
    </font>
    <font>
      <b/>
      <i/>
      <sz val="10"/>
      <color indexed="9"/>
      <name val="Arial"/>
      <family val="2"/>
    </font>
    <font>
      <b/>
      <sz val="16"/>
      <color theme="1"/>
      <name val="Arial"/>
      <family val="2"/>
    </font>
    <font>
      <sz val="16"/>
      <color theme="1"/>
      <name val="Arial"/>
      <family val="2"/>
    </font>
    <font>
      <b/>
      <sz val="10"/>
      <color theme="1"/>
      <name val="Arial"/>
      <family val="2"/>
    </font>
    <font>
      <u/>
      <sz val="10"/>
      <color theme="1"/>
      <name val="Arial"/>
      <family val="2"/>
    </font>
    <font>
      <i/>
      <sz val="10"/>
      <color theme="1"/>
      <name val="Arial"/>
      <family val="2"/>
    </font>
    <font>
      <b/>
      <sz val="10"/>
      <color indexed="81"/>
      <name val="Tahoma"/>
      <family val="2"/>
    </font>
    <font>
      <sz val="10"/>
      <color rgb="FF0000FF"/>
      <name val="Arial"/>
      <family val="2"/>
    </font>
    <font>
      <sz val="10"/>
      <color rgb="FFFF0000"/>
      <name val="Arial"/>
      <family val="2"/>
    </font>
    <font>
      <sz val="6"/>
      <name val="ＭＳ Ｐゴシック"/>
      <family val="3"/>
      <charset val="128"/>
    </font>
    <font>
      <i/>
      <sz val="10"/>
      <color rgb="FF0000FF"/>
      <name val="Arial"/>
      <family val="2"/>
    </font>
  </fonts>
  <fills count="39">
    <fill>
      <patternFill patternType="none"/>
    </fill>
    <fill>
      <patternFill patternType="gray125"/>
    </fill>
    <fill>
      <patternFill patternType="solid">
        <fgColor indexed="31"/>
        <bgColor indexed="22"/>
      </patternFill>
    </fill>
    <fill>
      <patternFill patternType="solid">
        <fgColor indexed="45"/>
        <bgColor indexed="29"/>
      </patternFill>
    </fill>
    <fill>
      <patternFill patternType="solid">
        <fgColor indexed="42"/>
        <bgColor indexed="27"/>
      </patternFill>
    </fill>
    <fill>
      <patternFill patternType="solid">
        <fgColor indexed="46"/>
        <bgColor indexed="45"/>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24"/>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indexed="18"/>
        <bgColor indexed="64"/>
      </patternFill>
    </fill>
    <fill>
      <patternFill patternType="solid">
        <fgColor indexed="9"/>
        <bgColor indexed="64"/>
      </patternFill>
    </fill>
    <fill>
      <patternFill patternType="solid">
        <fgColor indexed="46"/>
        <bgColor indexed="64"/>
      </patternFill>
    </fill>
    <fill>
      <patternFill patternType="solid">
        <fgColor indexed="10"/>
        <bgColor indexed="64"/>
      </patternFill>
    </fill>
    <fill>
      <patternFill patternType="solid">
        <fgColor indexed="11"/>
        <bgColor indexed="64"/>
      </patternFill>
    </fill>
    <fill>
      <patternFill patternType="solid">
        <fgColor indexed="13"/>
        <bgColor indexed="64"/>
      </patternFill>
    </fill>
    <fill>
      <patternFill patternType="solid">
        <fgColor theme="0"/>
        <bgColor indexed="64"/>
      </patternFill>
    </fill>
    <fill>
      <patternFill patternType="solid">
        <fgColor theme="9" tint="0.39997558519241921"/>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000080"/>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55"/>
      </left>
      <right style="thin">
        <color indexed="55"/>
      </right>
      <top style="thin">
        <color indexed="55"/>
      </top>
      <bottom style="thin">
        <color indexed="55"/>
      </bottom>
      <diagonal/>
    </border>
    <border>
      <left/>
      <right style="thin">
        <color indexed="55"/>
      </right>
      <top style="thin">
        <color indexed="55"/>
      </top>
      <bottom style="thin">
        <color indexed="55"/>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55"/>
      </top>
      <bottom style="thin">
        <color indexed="55"/>
      </bottom>
      <diagonal/>
    </border>
    <border>
      <left/>
      <right/>
      <top style="thin">
        <color indexed="55"/>
      </top>
      <bottom/>
      <diagonal/>
    </border>
    <border>
      <left/>
      <right/>
      <top style="thin">
        <color indexed="64"/>
      </top>
      <bottom style="thin">
        <color indexed="64"/>
      </bottom>
      <diagonal/>
    </border>
    <border>
      <left style="hair">
        <color indexed="18"/>
      </left>
      <right style="hair">
        <color indexed="18"/>
      </right>
      <top style="hair">
        <color indexed="18"/>
      </top>
      <bottom style="hair">
        <color indexed="18"/>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style="thin">
        <color indexed="64"/>
      </bottom>
      <diagonal/>
    </border>
    <border>
      <left style="thin">
        <color indexed="55"/>
      </left>
      <right/>
      <top style="thin">
        <color indexed="55"/>
      </top>
      <bottom style="thin">
        <color indexed="64"/>
      </bottom>
      <diagonal/>
    </border>
    <border>
      <left/>
      <right style="thin">
        <color indexed="55"/>
      </right>
      <top style="thin">
        <color indexed="55"/>
      </top>
      <bottom style="thin">
        <color indexed="64"/>
      </bottom>
      <diagonal/>
    </border>
    <border>
      <left/>
      <right style="thin">
        <color indexed="64"/>
      </right>
      <top style="thin">
        <color indexed="64"/>
      </top>
      <bottom style="medium">
        <color indexed="64"/>
      </bottom>
      <diagonal/>
    </border>
  </borders>
  <cellStyleXfs count="48">
    <xf numFmtId="0" fontId="0" fillId="0" borderId="0"/>
    <xf numFmtId="0" fontId="11" fillId="2" borderId="0" applyNumberFormat="0" applyBorder="0" applyAlignment="0" applyProtection="0"/>
    <xf numFmtId="0" fontId="11" fillId="3" borderId="0" applyNumberFormat="0" applyBorder="0" applyAlignment="0" applyProtection="0"/>
    <xf numFmtId="0" fontId="11" fillId="4" borderId="0" applyNumberFormat="0" applyBorder="0" applyAlignment="0" applyProtection="0"/>
    <xf numFmtId="0" fontId="11" fillId="5"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5" borderId="0" applyNumberFormat="0" applyBorder="0" applyAlignment="0" applyProtection="0"/>
    <xf numFmtId="0" fontId="11" fillId="8" borderId="0" applyNumberFormat="0" applyBorder="0" applyAlignment="0" applyProtection="0"/>
    <xf numFmtId="0" fontId="11" fillId="11" borderId="0" applyNumberFormat="0" applyBorder="0" applyAlignment="0" applyProtection="0"/>
    <xf numFmtId="0" fontId="12" fillId="12"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5" borderId="0" applyNumberFormat="0" applyBorder="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9" borderId="0" applyNumberFormat="0" applyBorder="0" applyAlignment="0" applyProtection="0"/>
    <xf numFmtId="0" fontId="13" fillId="3" borderId="0" applyNumberFormat="0" applyBorder="0" applyAlignment="0" applyProtection="0"/>
    <xf numFmtId="0" fontId="14" fillId="20" borderId="1" applyNumberFormat="0" applyAlignment="0" applyProtection="0"/>
    <xf numFmtId="0" fontId="15" fillId="21" borderId="2" applyNumberFormat="0" applyAlignment="0" applyProtection="0"/>
    <xf numFmtId="0" fontId="16" fillId="0" borderId="0" applyNumberFormat="0" applyFill="0" applyBorder="0" applyAlignment="0" applyProtection="0"/>
    <xf numFmtId="0" fontId="17" fillId="4" borderId="0" applyNumberFormat="0" applyBorder="0" applyAlignment="0" applyProtection="0"/>
    <xf numFmtId="0" fontId="6" fillId="0" borderId="3" applyNumberFormat="0" applyFill="0" applyAlignment="0" applyProtection="0"/>
    <xf numFmtId="0" fontId="7" fillId="0" borderId="4" applyNumberFormat="0" applyFill="0" applyAlignment="0" applyProtection="0"/>
    <xf numFmtId="0" fontId="8" fillId="0" borderId="5" applyNumberFormat="0" applyFill="0" applyAlignment="0" applyProtection="0"/>
    <xf numFmtId="0" fontId="8" fillId="0" borderId="0" applyNumberFormat="0" applyFill="0" applyBorder="0" applyAlignment="0" applyProtection="0"/>
    <xf numFmtId="0" fontId="18" fillId="7" borderId="1" applyNumberFormat="0" applyAlignment="0" applyProtection="0"/>
    <xf numFmtId="0" fontId="19" fillId="0" borderId="6" applyNumberFormat="0" applyFill="0" applyAlignment="0" applyProtection="0"/>
    <xf numFmtId="0" fontId="20" fillId="22" borderId="0" applyNumberFormat="0" applyBorder="0" applyAlignment="0" applyProtection="0"/>
    <xf numFmtId="0" fontId="3" fillId="0" borderId="0"/>
    <xf numFmtId="0" fontId="3" fillId="0" borderId="0"/>
    <xf numFmtId="0" fontId="5" fillId="0" borderId="0"/>
    <xf numFmtId="0" fontId="5" fillId="0" borderId="0"/>
    <xf numFmtId="0" fontId="3" fillId="0" borderId="0"/>
    <xf numFmtId="0" fontId="3" fillId="23" borderId="7" applyNumberFormat="0" applyAlignment="0" applyProtection="0"/>
    <xf numFmtId="0" fontId="21" fillId="20" borderId="8" applyNumberFormat="0" applyAlignment="0" applyProtection="0"/>
    <xf numFmtId="0" fontId="9"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182" fontId="3" fillId="0" borderId="0"/>
  </cellStyleXfs>
  <cellXfs count="490">
    <xf numFmtId="0" fontId="0" fillId="0" borderId="0" xfId="0"/>
    <xf numFmtId="0" fontId="0" fillId="24" borderId="0" xfId="0" applyFont="1" applyFill="1" applyAlignment="1">
      <alignment horizontal="right" vertical="top"/>
    </xf>
    <xf numFmtId="176" fontId="4" fillId="26" borderId="10" xfId="41" applyNumberFormat="1" applyFont="1" applyFill="1" applyBorder="1" applyAlignment="1" applyProtection="1">
      <alignment horizontal="left" vertical="top" wrapText="1"/>
    </xf>
    <xf numFmtId="0" fontId="4" fillId="0" borderId="0" xfId="0" applyFont="1" applyAlignment="1" applyProtection="1">
      <alignment horizontal="left" vertical="top" wrapText="1"/>
    </xf>
    <xf numFmtId="0" fontId="4" fillId="0" borderId="0" xfId="0" applyFont="1" applyAlignment="1" applyProtection="1">
      <alignment horizontal="left" vertical="top"/>
    </xf>
    <xf numFmtId="0" fontId="0" fillId="28" borderId="13" xfId="0" applyFont="1" applyFill="1" applyBorder="1" applyAlignment="1" applyProtection="1">
      <alignment horizontal="left" vertical="top" wrapText="1"/>
    </xf>
    <xf numFmtId="0" fontId="0" fillId="0" borderId="13" xfId="0" applyFill="1" applyBorder="1" applyAlignment="1" applyProtection="1">
      <alignment horizontal="left" vertical="top" wrapText="1"/>
    </xf>
    <xf numFmtId="0" fontId="0" fillId="0" borderId="13" xfId="0" applyFont="1" applyFill="1" applyBorder="1" applyAlignment="1" applyProtection="1">
      <alignment horizontal="left" vertical="top" wrapText="1"/>
    </xf>
    <xf numFmtId="0" fontId="0" fillId="0" borderId="13" xfId="41" applyFont="1" applyFill="1" applyBorder="1" applyAlignment="1" applyProtection="1">
      <alignment horizontal="left" vertical="top" wrapText="1"/>
    </xf>
    <xf numFmtId="176" fontId="4" fillId="0" borderId="0" xfId="0" applyNumberFormat="1" applyFont="1" applyAlignment="1" applyProtection="1">
      <alignment horizontal="left" vertical="top"/>
    </xf>
    <xf numFmtId="176" fontId="4" fillId="28" borderId="0" xfId="41" applyNumberFormat="1" applyFont="1" applyFill="1" applyBorder="1" applyAlignment="1" applyProtection="1">
      <alignment horizontal="left" vertical="top" wrapText="1"/>
    </xf>
    <xf numFmtId="0" fontId="4" fillId="0" borderId="0" xfId="0" applyFont="1" applyFill="1" applyAlignment="1" applyProtection="1">
      <alignment horizontal="left" vertical="top"/>
    </xf>
    <xf numFmtId="0" fontId="0" fillId="0" borderId="13" xfId="0" applyFont="1" applyBorder="1" applyAlignment="1" applyProtection="1">
      <alignment horizontal="left" vertical="top" wrapText="1"/>
    </xf>
    <xf numFmtId="184" fontId="4" fillId="26" borderId="10" xfId="41" applyNumberFormat="1" applyFont="1" applyFill="1" applyBorder="1" applyAlignment="1" applyProtection="1">
      <alignment horizontal="right" vertical="top" wrapText="1"/>
    </xf>
    <xf numFmtId="176" fontId="4" fillId="28" borderId="0" xfId="41" applyNumberFormat="1" applyFont="1" applyFill="1" applyBorder="1" applyAlignment="1" applyProtection="1">
      <alignment horizontal="right" vertical="top"/>
    </xf>
    <xf numFmtId="0" fontId="0" fillId="28" borderId="13" xfId="0" applyFill="1" applyBorder="1" applyAlignment="1" applyProtection="1">
      <alignment horizontal="left" vertical="top" wrapText="1"/>
    </xf>
    <xf numFmtId="184" fontId="4" fillId="26" borderId="10" xfId="41" applyNumberFormat="1" applyFont="1" applyFill="1" applyBorder="1" applyAlignment="1" applyProtection="1">
      <alignment horizontal="left" vertical="top" wrapText="1"/>
    </xf>
    <xf numFmtId="178" fontId="4" fillId="28" borderId="10" xfId="41" applyNumberFormat="1" applyFont="1" applyFill="1" applyBorder="1" applyAlignment="1" applyProtection="1">
      <alignment horizontal="right" vertical="top" wrapText="1"/>
    </xf>
    <xf numFmtId="0" fontId="0" fillId="33" borderId="13" xfId="0" applyFont="1" applyFill="1" applyBorder="1" applyAlignment="1" applyProtection="1">
      <alignment horizontal="left" vertical="top" wrapText="1"/>
    </xf>
    <xf numFmtId="0" fontId="38" fillId="0" borderId="0" xfId="0" applyFont="1" applyFill="1" applyBorder="1" applyAlignment="1" applyProtection="1">
      <alignment horizontal="left" vertical="top"/>
    </xf>
    <xf numFmtId="0" fontId="40" fillId="33" borderId="13" xfId="0" applyFont="1" applyFill="1" applyBorder="1" applyAlignment="1" applyProtection="1">
      <alignment horizontal="left" vertical="top" wrapText="1"/>
    </xf>
    <xf numFmtId="0" fontId="40" fillId="33" borderId="13" xfId="41" applyFont="1" applyFill="1" applyBorder="1" applyAlignment="1" applyProtection="1">
      <alignment horizontal="left" vertical="top" wrapText="1"/>
    </xf>
    <xf numFmtId="0" fontId="0" fillId="0" borderId="13" xfId="0" applyNumberFormat="1" applyFont="1" applyBorder="1" applyAlignment="1" applyProtection="1">
      <alignment horizontal="center" vertical="top" wrapText="1"/>
    </xf>
    <xf numFmtId="0" fontId="4" fillId="0" borderId="0" xfId="0" applyFont="1" applyFill="1" applyBorder="1" applyAlignment="1" applyProtection="1">
      <alignment horizontal="center" vertical="top" wrapText="1"/>
    </xf>
    <xf numFmtId="0" fontId="40" fillId="0" borderId="13" xfId="0" applyFont="1" applyFill="1" applyBorder="1" applyAlignment="1" applyProtection="1">
      <alignment horizontal="left" vertical="top" wrapText="1"/>
    </xf>
    <xf numFmtId="0" fontId="0" fillId="0" borderId="15" xfId="0" applyFont="1" applyBorder="1" applyAlignment="1" applyProtection="1">
      <alignment horizontal="left" vertical="top" wrapText="1"/>
    </xf>
    <xf numFmtId="0" fontId="25" fillId="29" borderId="24" xfId="0" applyFont="1" applyFill="1" applyBorder="1" applyAlignment="1" applyProtection="1">
      <alignment vertical="top"/>
    </xf>
    <xf numFmtId="0" fontId="25" fillId="29" borderId="29" xfId="0" applyFont="1" applyFill="1" applyBorder="1" applyAlignment="1" applyProtection="1">
      <alignment vertical="top"/>
    </xf>
    <xf numFmtId="0" fontId="25" fillId="29" borderId="25" xfId="0" applyFont="1" applyFill="1" applyBorder="1" applyAlignment="1" applyProtection="1">
      <alignment vertical="top"/>
    </xf>
    <xf numFmtId="0" fontId="42" fillId="0" borderId="13" xfId="0" applyFont="1" applyFill="1" applyBorder="1" applyAlignment="1" applyProtection="1">
      <alignment horizontal="left" vertical="top" wrapText="1"/>
    </xf>
    <xf numFmtId="184" fontId="4" fillId="26" borderId="11" xfId="41" applyNumberFormat="1" applyFont="1" applyFill="1" applyBorder="1" applyAlignment="1" applyProtection="1">
      <alignment horizontal="right" vertical="top" wrapText="1"/>
    </xf>
    <xf numFmtId="0" fontId="33" fillId="24" borderId="0" xfId="0" applyFont="1" applyFill="1" applyAlignment="1">
      <alignment vertical="top"/>
    </xf>
    <xf numFmtId="0" fontId="0" fillId="24" borderId="0" xfId="0" applyFont="1" applyFill="1" applyAlignment="1">
      <alignment vertical="top"/>
    </xf>
    <xf numFmtId="0" fontId="4" fillId="24" borderId="0" xfId="0" applyFont="1" applyFill="1" applyAlignment="1">
      <alignment vertical="top"/>
    </xf>
    <xf numFmtId="0" fontId="24" fillId="24" borderId="0" xfId="0" applyFont="1" applyFill="1" applyAlignment="1">
      <alignment vertical="top"/>
    </xf>
    <xf numFmtId="0" fontId="0" fillId="24" borderId="0" xfId="0" quotePrefix="1" applyFont="1" applyFill="1" applyAlignment="1">
      <alignment horizontal="left" vertical="top"/>
    </xf>
    <xf numFmtId="0" fontId="0" fillId="24" borderId="0" xfId="0" applyFont="1" applyFill="1" applyAlignment="1">
      <alignment horizontal="left" vertical="top"/>
    </xf>
    <xf numFmtId="0" fontId="0" fillId="24" borderId="0" xfId="0" quotePrefix="1" applyFont="1" applyFill="1" applyAlignment="1">
      <alignment vertical="top"/>
    </xf>
    <xf numFmtId="0" fontId="0" fillId="24" borderId="0" xfId="0" applyFont="1" applyFill="1" applyBorder="1" applyAlignment="1">
      <alignment horizontal="center" vertical="top"/>
    </xf>
    <xf numFmtId="0" fontId="0" fillId="24" borderId="0" xfId="0" applyFont="1" applyFill="1" applyBorder="1" applyAlignment="1">
      <alignment horizontal="left" vertical="top"/>
    </xf>
    <xf numFmtId="0" fontId="43" fillId="24" borderId="0" xfId="0" applyFont="1" applyFill="1" applyAlignment="1">
      <alignment horizontal="right" vertical="top"/>
    </xf>
    <xf numFmtId="0" fontId="43" fillId="24" borderId="0" xfId="0" applyFont="1" applyFill="1" applyAlignment="1">
      <alignment vertical="top"/>
    </xf>
    <xf numFmtId="0" fontId="4" fillId="24" borderId="0" xfId="0" quotePrefix="1" applyFont="1" applyFill="1" applyAlignment="1">
      <alignment vertical="top"/>
    </xf>
    <xf numFmtId="0" fontId="4" fillId="24" borderId="0" xfId="0" quotePrefix="1" applyFont="1" applyFill="1" applyAlignment="1">
      <alignment horizontal="left" vertical="top"/>
    </xf>
    <xf numFmtId="0" fontId="0" fillId="24" borderId="0" xfId="0" quotePrefix="1" applyFont="1" applyFill="1" applyAlignment="1">
      <alignment horizontal="right" vertical="top"/>
    </xf>
    <xf numFmtId="0" fontId="0" fillId="24" borderId="0" xfId="0" applyFill="1" applyAlignment="1">
      <alignment horizontal="left" vertical="top"/>
    </xf>
    <xf numFmtId="0" fontId="4" fillId="25" borderId="13" xfId="0" applyFont="1" applyFill="1" applyBorder="1" applyAlignment="1">
      <alignment horizontal="left" vertical="top"/>
    </xf>
    <xf numFmtId="0" fontId="0" fillId="28" borderId="13" xfId="0" applyFont="1" applyFill="1" applyBorder="1" applyAlignment="1">
      <alignment horizontal="left" vertical="top"/>
    </xf>
    <xf numFmtId="0" fontId="0" fillId="33" borderId="0" xfId="0" applyFont="1" applyFill="1" applyAlignment="1" applyProtection="1">
      <alignment horizontal="left" vertical="top"/>
      <protection locked="0"/>
    </xf>
    <xf numFmtId="0" fontId="39" fillId="0" borderId="0" xfId="0" applyFont="1" applyAlignment="1" applyProtection="1">
      <alignment vertical="top"/>
    </xf>
    <xf numFmtId="178" fontId="4" fillId="0" borderId="0" xfId="0" applyNumberFormat="1" applyFont="1" applyAlignment="1" applyProtection="1">
      <alignment horizontal="left" vertical="top"/>
      <protection locked="0"/>
    </xf>
    <xf numFmtId="0" fontId="37" fillId="0" borderId="0" xfId="0" applyFont="1" applyAlignment="1" applyProtection="1">
      <alignment horizontal="left" vertical="top"/>
      <protection locked="0"/>
    </xf>
    <xf numFmtId="178" fontId="44" fillId="27" borderId="23" xfId="0" applyNumberFormat="1" applyFont="1" applyFill="1" applyBorder="1" applyAlignment="1" applyProtection="1">
      <alignment horizontal="left" vertical="top" wrapText="1"/>
    </xf>
    <xf numFmtId="15" fontId="0" fillId="28" borderId="0" xfId="0" applyNumberFormat="1" applyFont="1" applyFill="1" applyBorder="1" applyAlignment="1" applyProtection="1">
      <alignment horizontal="left" vertical="top"/>
    </xf>
    <xf numFmtId="179" fontId="44" fillId="27" borderId="16" xfId="0" applyNumberFormat="1" applyFont="1" applyFill="1" applyBorder="1" applyAlignment="1" applyProtection="1">
      <alignment horizontal="left" vertical="top" wrapText="1"/>
    </xf>
    <xf numFmtId="15" fontId="44" fillId="27" borderId="16" xfId="0" applyNumberFormat="1" applyFont="1" applyFill="1" applyBorder="1" applyAlignment="1" applyProtection="1">
      <alignment horizontal="left" vertical="top" wrapText="1"/>
    </xf>
    <xf numFmtId="179" fontId="44" fillId="27" borderId="13" xfId="0" applyNumberFormat="1" applyFont="1" applyFill="1" applyBorder="1" applyAlignment="1" applyProtection="1">
      <alignment horizontal="left" vertical="top" wrapText="1"/>
    </xf>
    <xf numFmtId="0" fontId="28" fillId="28" borderId="12" xfId="40" applyFont="1" applyFill="1" applyBorder="1" applyAlignment="1" applyProtection="1">
      <alignment horizontal="center" vertical="top" wrapText="1"/>
      <protection locked="0"/>
    </xf>
    <xf numFmtId="178" fontId="26" fillId="28" borderId="13" xfId="40" applyNumberFormat="1" applyFont="1" applyFill="1" applyBorder="1" applyAlignment="1" applyProtection="1">
      <alignment horizontal="center" vertical="top" wrapText="1"/>
      <protection locked="0"/>
    </xf>
    <xf numFmtId="0" fontId="25" fillId="28" borderId="13" xfId="40" applyFont="1" applyFill="1" applyBorder="1" applyAlignment="1" applyProtection="1">
      <alignment horizontal="center" vertical="top" wrapText="1"/>
      <protection locked="0"/>
    </xf>
    <xf numFmtId="0" fontId="28" fillId="28" borderId="13" xfId="40" applyFont="1" applyFill="1" applyBorder="1" applyAlignment="1" applyProtection="1">
      <alignment horizontal="left" vertical="top" wrapText="1"/>
      <protection locked="0"/>
    </xf>
    <xf numFmtId="0" fontId="26" fillId="0" borderId="13" xfId="40" applyFont="1" applyFill="1" applyBorder="1" applyAlignment="1" applyProtection="1">
      <alignment horizontal="left" vertical="top" wrapText="1"/>
      <protection locked="0"/>
    </xf>
    <xf numFmtId="0" fontId="26" fillId="28" borderId="13" xfId="40" applyFont="1" applyFill="1" applyBorder="1" applyAlignment="1" applyProtection="1">
      <alignment horizontal="center" vertical="top" wrapText="1"/>
      <protection locked="0"/>
    </xf>
    <xf numFmtId="0" fontId="28" fillId="0" borderId="13" xfId="40" applyFont="1" applyFill="1" applyBorder="1" applyAlignment="1" applyProtection="1">
      <alignment horizontal="left" vertical="top" wrapText="1"/>
      <protection locked="0"/>
    </xf>
    <xf numFmtId="0" fontId="28" fillId="28" borderId="14" xfId="40" applyFont="1" applyFill="1" applyBorder="1" applyAlignment="1" applyProtection="1">
      <alignment horizontal="center" vertical="top" wrapText="1"/>
      <protection locked="0"/>
    </xf>
    <xf numFmtId="178" fontId="26" fillId="28" borderId="15" xfId="40" applyNumberFormat="1" applyFont="1" applyFill="1" applyBorder="1" applyAlignment="1" applyProtection="1">
      <alignment horizontal="center" vertical="top" wrapText="1"/>
      <protection locked="0"/>
    </xf>
    <xf numFmtId="0" fontId="25" fillId="28" borderId="15" xfId="40" applyFont="1" applyFill="1" applyBorder="1" applyAlignment="1" applyProtection="1">
      <alignment horizontal="center" vertical="top" wrapText="1"/>
      <protection locked="0"/>
    </xf>
    <xf numFmtId="0" fontId="28" fillId="28" borderId="15" xfId="40" applyFont="1" applyFill="1" applyBorder="1" applyAlignment="1" applyProtection="1">
      <alignment horizontal="left" vertical="top" wrapText="1"/>
      <protection locked="0"/>
    </xf>
    <xf numFmtId="0" fontId="26" fillId="28" borderId="15" xfId="40" applyFont="1" applyFill="1" applyBorder="1" applyAlignment="1" applyProtection="1">
      <alignment horizontal="center" vertical="top" wrapText="1"/>
      <protection locked="0"/>
    </xf>
    <xf numFmtId="0" fontId="0" fillId="0" borderId="0" xfId="0" applyFont="1" applyAlignment="1" applyProtection="1">
      <alignment horizontal="left" vertical="top"/>
    </xf>
    <xf numFmtId="2" fontId="0" fillId="0" borderId="0" xfId="41" applyNumberFormat="1" applyFont="1" applyAlignment="1" applyProtection="1">
      <alignment horizontal="left" vertical="top"/>
    </xf>
    <xf numFmtId="183" fontId="0" fillId="0" borderId="13" xfId="0" applyNumberFormat="1" applyFont="1" applyBorder="1" applyAlignment="1" applyProtection="1">
      <alignment horizontal="center" vertical="top" wrapText="1"/>
    </xf>
    <xf numFmtId="0" fontId="0" fillId="33" borderId="13" xfId="41" applyFont="1" applyFill="1" applyBorder="1" applyAlignment="1" applyProtection="1">
      <alignment horizontal="left" vertical="top" wrapText="1"/>
    </xf>
    <xf numFmtId="2" fontId="0" fillId="0" borderId="0" xfId="41" applyNumberFormat="1" applyFont="1" applyFill="1" applyAlignment="1" applyProtection="1">
      <alignment horizontal="left" vertical="top"/>
    </xf>
    <xf numFmtId="184" fontId="4" fillId="34" borderId="13" xfId="41" applyNumberFormat="1" applyFont="1" applyFill="1" applyBorder="1" applyAlignment="1" applyProtection="1">
      <alignment horizontal="center" vertical="top" wrapText="1"/>
    </xf>
    <xf numFmtId="0" fontId="0" fillId="34" borderId="13" xfId="0" applyNumberFormat="1" applyFont="1" applyFill="1" applyBorder="1" applyAlignment="1" applyProtection="1">
      <alignment horizontal="left" vertical="top" wrapText="1"/>
    </xf>
    <xf numFmtId="0" fontId="39" fillId="0" borderId="0" xfId="0" applyFont="1" applyAlignment="1" applyProtection="1">
      <alignment horizontal="left" vertical="top"/>
    </xf>
    <xf numFmtId="0" fontId="38" fillId="27" borderId="27" xfId="0" applyFont="1" applyFill="1" applyBorder="1" applyAlignment="1" applyProtection="1">
      <alignment vertical="center" wrapText="1"/>
    </xf>
    <xf numFmtId="0" fontId="38" fillId="27" borderId="28" xfId="0" applyFont="1" applyFill="1" applyBorder="1" applyAlignment="1" applyProtection="1">
      <alignment vertical="center" wrapText="1"/>
    </xf>
    <xf numFmtId="0" fontId="38" fillId="27" borderId="11" xfId="0" applyFont="1" applyFill="1" applyBorder="1" applyAlignment="1" applyProtection="1">
      <alignment horizontal="center" vertical="top" wrapText="1"/>
    </xf>
    <xf numFmtId="0" fontId="38" fillId="27" borderId="10" xfId="0" applyFont="1" applyFill="1" applyBorder="1" applyAlignment="1" applyProtection="1">
      <alignment horizontal="center" vertical="top"/>
    </xf>
    <xf numFmtId="0" fontId="38" fillId="27" borderId="10" xfId="0" applyFont="1" applyFill="1" applyBorder="1" applyAlignment="1" applyProtection="1">
      <alignment horizontal="center" vertical="top" wrapText="1"/>
    </xf>
    <xf numFmtId="2" fontId="38" fillId="27" borderId="10" xfId="0" applyNumberFormat="1" applyFont="1" applyFill="1" applyBorder="1" applyAlignment="1" applyProtection="1">
      <alignment horizontal="center" vertical="top"/>
    </xf>
    <xf numFmtId="0" fontId="38" fillId="27" borderId="13" xfId="0" applyFont="1" applyFill="1" applyBorder="1" applyAlignment="1" applyProtection="1">
      <alignment horizontal="center" vertical="top" wrapText="1"/>
    </xf>
    <xf numFmtId="0" fontId="38" fillId="0" borderId="0" xfId="0" applyFont="1" applyFill="1" applyAlignment="1" applyProtection="1">
      <alignment horizontal="center" vertical="top"/>
    </xf>
    <xf numFmtId="0" fontId="0" fillId="0" borderId="13" xfId="0" applyNumberFormat="1" applyFont="1" applyFill="1" applyBorder="1" applyAlignment="1" applyProtection="1">
      <alignment horizontal="center" vertical="top" wrapText="1"/>
    </xf>
    <xf numFmtId="0" fontId="45" fillId="0" borderId="0" xfId="0" applyFont="1" applyProtection="1"/>
    <xf numFmtId="0" fontId="45" fillId="0" borderId="0" xfId="0" applyFont="1" applyAlignment="1" applyProtection="1"/>
    <xf numFmtId="0" fontId="46" fillId="0" borderId="0" xfId="0" applyFont="1" applyProtection="1"/>
    <xf numFmtId="0" fontId="45" fillId="0" borderId="0" xfId="41" applyFont="1" applyAlignment="1" applyProtection="1">
      <alignment vertical="center"/>
    </xf>
    <xf numFmtId="2" fontId="46" fillId="0" borderId="0" xfId="0" applyNumberFormat="1" applyFont="1" applyProtection="1"/>
    <xf numFmtId="0" fontId="47" fillId="0" borderId="0" xfId="0" applyFont="1" applyProtection="1"/>
    <xf numFmtId="0" fontId="47" fillId="0" borderId="0" xfId="0" applyFont="1" applyFill="1" applyProtection="1"/>
    <xf numFmtId="0" fontId="47" fillId="0" borderId="0" xfId="0" applyFont="1" applyAlignment="1" applyProtection="1"/>
    <xf numFmtId="0" fontId="40" fillId="0" borderId="0" xfId="0" applyFont="1" applyProtection="1"/>
    <xf numFmtId="0" fontId="47" fillId="0" borderId="0" xfId="41" applyFont="1" applyAlignment="1" applyProtection="1">
      <alignment vertical="center"/>
    </xf>
    <xf numFmtId="2" fontId="40" fillId="0" borderId="0" xfId="0" applyNumberFormat="1" applyFont="1" applyProtection="1"/>
    <xf numFmtId="0" fontId="40" fillId="0" borderId="0" xfId="0" applyFont="1" applyAlignment="1" applyProtection="1">
      <alignment horizontal="left" vertical="top"/>
    </xf>
    <xf numFmtId="2" fontId="40" fillId="0" borderId="0" xfId="41" applyNumberFormat="1" applyFont="1" applyAlignment="1" applyProtection="1">
      <alignment horizontal="left" vertical="top"/>
    </xf>
    <xf numFmtId="2" fontId="40" fillId="0" borderId="0" xfId="41" applyNumberFormat="1" applyFont="1" applyFill="1" applyAlignment="1" applyProtection="1">
      <alignment horizontal="left" vertical="top"/>
    </xf>
    <xf numFmtId="2" fontId="47" fillId="26" borderId="19" xfId="41" applyNumberFormat="1" applyFont="1" applyFill="1" applyBorder="1" applyAlignment="1" applyProtection="1">
      <alignment horizontal="left" vertical="top" wrapText="1"/>
    </xf>
    <xf numFmtId="184" fontId="47" fillId="26" borderId="10" xfId="41" applyNumberFormat="1" applyFont="1" applyFill="1" applyBorder="1" applyAlignment="1" applyProtection="1">
      <alignment horizontal="right" vertical="top" wrapText="1"/>
    </xf>
    <xf numFmtId="184" fontId="47" fillId="26" borderId="11" xfId="41" applyNumberFormat="1" applyFont="1" applyFill="1" applyBorder="1" applyAlignment="1" applyProtection="1">
      <alignment horizontal="right" vertical="top" wrapText="1"/>
    </xf>
    <xf numFmtId="2" fontId="47" fillId="26" borderId="20" xfId="41" applyNumberFormat="1" applyFont="1" applyFill="1" applyBorder="1" applyAlignment="1" applyProtection="1">
      <alignment horizontal="left" vertical="top" wrapText="1"/>
    </xf>
    <xf numFmtId="0" fontId="47" fillId="0" borderId="0" xfId="0" applyFont="1" applyAlignment="1" applyProtection="1">
      <alignment wrapText="1"/>
    </xf>
    <xf numFmtId="9" fontId="40" fillId="0" borderId="0" xfId="0" applyNumberFormat="1" applyFont="1" applyProtection="1"/>
    <xf numFmtId="0" fontId="47" fillId="0" borderId="0" xfId="0" applyFont="1" applyFill="1" applyBorder="1" applyAlignment="1" applyProtection="1">
      <alignment horizontal="center" vertical="top" wrapText="1"/>
    </xf>
    <xf numFmtId="180" fontId="47" fillId="0" borderId="0" xfId="0" applyNumberFormat="1" applyFont="1" applyAlignment="1" applyProtection="1">
      <alignment wrapText="1"/>
    </xf>
    <xf numFmtId="181" fontId="47" fillId="0" borderId="0" xfId="0" applyNumberFormat="1" applyFont="1" applyAlignment="1" applyProtection="1">
      <alignment wrapText="1"/>
    </xf>
    <xf numFmtId="184" fontId="47" fillId="34" borderId="13" xfId="41" applyNumberFormat="1" applyFont="1" applyFill="1" applyBorder="1" applyAlignment="1" applyProtection="1">
      <alignment horizontal="center" vertical="top" wrapText="1"/>
    </xf>
    <xf numFmtId="0" fontId="47" fillId="0" borderId="0" xfId="0" quotePrefix="1" applyFont="1" applyProtection="1"/>
    <xf numFmtId="0" fontId="40" fillId="0" borderId="0" xfId="0" applyFont="1" applyAlignment="1">
      <alignment horizontal="left" indent="4"/>
    </xf>
    <xf numFmtId="181" fontId="47" fillId="0" borderId="0" xfId="0" applyNumberFormat="1" applyFont="1" applyProtection="1"/>
    <xf numFmtId="181" fontId="40" fillId="0" borderId="0" xfId="0" applyNumberFormat="1" applyFont="1" applyProtection="1"/>
    <xf numFmtId="178" fontId="47" fillId="28" borderId="10" xfId="41" applyNumberFormat="1" applyFont="1" applyFill="1" applyBorder="1" applyAlignment="1" applyProtection="1">
      <alignment horizontal="right" vertical="top" wrapText="1"/>
    </xf>
    <xf numFmtId="178" fontId="47" fillId="28" borderId="20" xfId="41" applyNumberFormat="1" applyFont="1" applyFill="1" applyBorder="1" applyAlignment="1" applyProtection="1">
      <alignment horizontal="right" vertical="top" wrapText="1"/>
    </xf>
    <xf numFmtId="178" fontId="47" fillId="34" borderId="13" xfId="41" applyNumberFormat="1" applyFont="1" applyFill="1" applyBorder="1" applyAlignment="1" applyProtection="1">
      <alignment vertical="top" wrapText="1"/>
    </xf>
    <xf numFmtId="0" fontId="40" fillId="28" borderId="13" xfId="0" applyFont="1" applyFill="1" applyBorder="1" applyAlignment="1" applyProtection="1">
      <alignment horizontal="left" vertical="top" wrapText="1"/>
    </xf>
    <xf numFmtId="0" fontId="40" fillId="28" borderId="13" xfId="0" quotePrefix="1" applyFont="1" applyFill="1" applyBorder="1" applyAlignment="1" applyProtection="1">
      <alignment horizontal="left" vertical="top" wrapText="1"/>
    </xf>
    <xf numFmtId="0" fontId="40" fillId="0" borderId="13" xfId="41" applyFont="1" applyFill="1" applyBorder="1" applyAlignment="1" applyProtection="1">
      <alignment horizontal="left" vertical="top" wrapText="1"/>
    </xf>
    <xf numFmtId="183" fontId="40" fillId="0" borderId="13" xfId="0" applyNumberFormat="1" applyFont="1" applyBorder="1" applyAlignment="1" applyProtection="1">
      <alignment horizontal="center" vertical="top" wrapText="1"/>
    </xf>
    <xf numFmtId="0" fontId="40" fillId="0" borderId="13" xfId="0" applyNumberFormat="1" applyFont="1" applyBorder="1" applyAlignment="1" applyProtection="1">
      <alignment horizontal="center" vertical="top" wrapText="1"/>
    </xf>
    <xf numFmtId="0" fontId="40" fillId="34" borderId="13" xfId="0" applyNumberFormat="1" applyFont="1" applyFill="1" applyBorder="1" applyAlignment="1" applyProtection="1">
      <alignment horizontal="left" vertical="top" wrapText="1"/>
    </xf>
    <xf numFmtId="0" fontId="40" fillId="0" borderId="0" xfId="0" applyFont="1" applyBorder="1" applyProtection="1"/>
    <xf numFmtId="0" fontId="40" fillId="33" borderId="13" xfId="0" applyNumberFormat="1" applyFont="1" applyFill="1" applyBorder="1" applyAlignment="1" applyProtection="1">
      <alignment horizontal="center" vertical="top" wrapText="1"/>
    </xf>
    <xf numFmtId="0" fontId="40" fillId="33" borderId="13" xfId="0" quotePrefix="1" applyFont="1" applyFill="1" applyBorder="1" applyAlignment="1" applyProtection="1">
      <alignment horizontal="left" vertical="top" wrapText="1"/>
    </xf>
    <xf numFmtId="0" fontId="40" fillId="0" borderId="13" xfId="0" quotePrefix="1" applyFont="1" applyFill="1" applyBorder="1" applyAlignment="1" applyProtection="1">
      <alignment horizontal="left" vertical="top" wrapText="1"/>
    </xf>
    <xf numFmtId="0" fontId="40" fillId="33" borderId="13" xfId="41" quotePrefix="1" applyFont="1" applyFill="1" applyBorder="1" applyAlignment="1" applyProtection="1">
      <alignment horizontal="left" vertical="top" wrapText="1"/>
    </xf>
    <xf numFmtId="0" fontId="40" fillId="33" borderId="15" xfId="0" applyFont="1" applyFill="1" applyBorder="1" applyAlignment="1" applyProtection="1">
      <alignment horizontal="left" vertical="top" wrapText="1"/>
    </xf>
    <xf numFmtId="0" fontId="49" fillId="33" borderId="26" xfId="0" applyFont="1" applyFill="1" applyBorder="1" applyAlignment="1" applyProtection="1">
      <alignment horizontal="right" vertical="top" wrapText="1" indent="3"/>
    </xf>
    <xf numFmtId="0" fontId="49" fillId="28" borderId="26" xfId="0" applyFont="1" applyFill="1" applyBorder="1" applyAlignment="1" applyProtection="1">
      <alignment horizontal="right" vertical="top" wrapText="1" indent="3"/>
    </xf>
    <xf numFmtId="0" fontId="49" fillId="0" borderId="26" xfId="0" applyFont="1" applyFill="1" applyBorder="1" applyAlignment="1" applyProtection="1">
      <alignment horizontal="right" vertical="top" wrapText="1" indent="3"/>
    </xf>
    <xf numFmtId="0" fontId="40" fillId="0" borderId="13" xfId="0" applyNumberFormat="1" applyFont="1" applyFill="1" applyBorder="1" applyAlignment="1" applyProtection="1">
      <alignment horizontal="center" vertical="top" wrapText="1"/>
    </xf>
    <xf numFmtId="0" fontId="49" fillId="28" borderId="16" xfId="0" applyFont="1" applyFill="1" applyBorder="1" applyAlignment="1" applyProtection="1">
      <alignment horizontal="right" vertical="top" wrapText="1" indent="3"/>
    </xf>
    <xf numFmtId="0" fontId="49" fillId="33" borderId="16" xfId="0" applyFont="1" applyFill="1" applyBorder="1" applyAlignment="1" applyProtection="1">
      <alignment horizontal="right" vertical="top" wrapText="1" indent="3"/>
    </xf>
    <xf numFmtId="0" fontId="49" fillId="29" borderId="24" xfId="0" applyFont="1" applyFill="1" applyBorder="1" applyAlignment="1" applyProtection="1">
      <alignment vertical="top"/>
    </xf>
    <xf numFmtId="0" fontId="49" fillId="29" borderId="29" xfId="0" applyFont="1" applyFill="1" applyBorder="1" applyAlignment="1" applyProtection="1">
      <alignment vertical="top"/>
    </xf>
    <xf numFmtId="0" fontId="49" fillId="29" borderId="25" xfId="0" applyFont="1" applyFill="1" applyBorder="1" applyAlignment="1" applyProtection="1">
      <alignment vertical="top"/>
    </xf>
    <xf numFmtId="0" fontId="40" fillId="0" borderId="0" xfId="0" applyFont="1" applyFill="1" applyProtection="1"/>
    <xf numFmtId="0" fontId="40" fillId="0" borderId="0" xfId="0" applyFont="1" applyAlignment="1" applyProtection="1">
      <alignment wrapText="1"/>
    </xf>
    <xf numFmtId="0" fontId="40" fillId="0" borderId="0" xfId="41" applyFont="1" applyAlignment="1" applyProtection="1">
      <alignment vertical="center"/>
    </xf>
    <xf numFmtId="0" fontId="46" fillId="0" borderId="0" xfId="0" applyFont="1" applyAlignment="1" applyProtection="1">
      <alignment wrapText="1"/>
    </xf>
    <xf numFmtId="9" fontId="40" fillId="0" borderId="0" xfId="0" applyNumberFormat="1" applyFont="1" applyAlignment="1" applyProtection="1">
      <alignment wrapText="1"/>
    </xf>
    <xf numFmtId="181" fontId="40" fillId="0" borderId="0" xfId="0" applyNumberFormat="1" applyFont="1" applyAlignment="1" applyProtection="1">
      <alignment wrapText="1"/>
    </xf>
    <xf numFmtId="0" fontId="49" fillId="29" borderId="29" xfId="0" applyFont="1" applyFill="1" applyBorder="1" applyAlignment="1" applyProtection="1">
      <alignment vertical="top" wrapText="1"/>
    </xf>
    <xf numFmtId="176" fontId="40" fillId="0" borderId="0" xfId="0" applyNumberFormat="1" applyFont="1" applyProtection="1"/>
    <xf numFmtId="176" fontId="47" fillId="26" borderId="10" xfId="41" applyNumberFormat="1" applyFont="1" applyFill="1" applyBorder="1" applyAlignment="1" applyProtection="1">
      <alignment horizontal="left" vertical="top" wrapText="1"/>
    </xf>
    <xf numFmtId="176" fontId="47" fillId="0" borderId="0" xfId="41" applyNumberFormat="1" applyFont="1" applyFill="1" applyBorder="1" applyAlignment="1" applyProtection="1">
      <alignment horizontal="left" vertical="top" wrapText="1"/>
    </xf>
    <xf numFmtId="176" fontId="47" fillId="0" borderId="0" xfId="41" applyNumberFormat="1" applyFont="1" applyFill="1" applyBorder="1" applyAlignment="1" applyProtection="1">
      <alignment horizontal="left" vertical="top"/>
    </xf>
    <xf numFmtId="2" fontId="40" fillId="0" borderId="0" xfId="0" applyNumberFormat="1" applyFont="1" applyBorder="1" applyAlignment="1" applyProtection="1">
      <alignment vertical="top" wrapText="1"/>
    </xf>
    <xf numFmtId="2" fontId="40" fillId="0" borderId="0" xfId="0" applyNumberFormat="1" applyFont="1" applyBorder="1" applyAlignment="1" applyProtection="1">
      <alignment horizontal="left" vertical="top" wrapText="1"/>
    </xf>
    <xf numFmtId="0" fontId="42" fillId="0" borderId="13" xfId="0" applyNumberFormat="1" applyFont="1" applyFill="1" applyBorder="1" applyAlignment="1" applyProtection="1">
      <alignment horizontal="left" vertical="top" wrapText="1"/>
    </xf>
    <xf numFmtId="0" fontId="49" fillId="0" borderId="13" xfId="0" applyFont="1" applyFill="1" applyBorder="1" applyAlignment="1">
      <alignment horizontal="right" vertical="top" wrapText="1"/>
    </xf>
    <xf numFmtId="0" fontId="47" fillId="0" borderId="0" xfId="0" applyFont="1" applyAlignment="1" applyProtection="1">
      <alignment vertical="top"/>
    </xf>
    <xf numFmtId="0" fontId="47" fillId="0" borderId="0" xfId="0" applyFont="1" applyFill="1" applyAlignment="1" applyProtection="1">
      <alignment vertical="top"/>
    </xf>
    <xf numFmtId="0" fontId="40" fillId="0" borderId="0" xfId="0" applyFont="1" applyAlignment="1" applyProtection="1">
      <alignment vertical="top"/>
    </xf>
    <xf numFmtId="176" fontId="40" fillId="0" borderId="0" xfId="0" applyNumberFormat="1" applyFont="1" applyAlignment="1" applyProtection="1">
      <alignment vertical="top"/>
    </xf>
    <xf numFmtId="0" fontId="40" fillId="0" borderId="0" xfId="0" applyNumberFormat="1" applyFont="1" applyAlignment="1" applyProtection="1">
      <alignment vertical="top"/>
    </xf>
    <xf numFmtId="0" fontId="40" fillId="0" borderId="0" xfId="0" applyFont="1" applyFill="1" applyAlignment="1" applyProtection="1">
      <alignment vertical="top"/>
    </xf>
    <xf numFmtId="176" fontId="47" fillId="0" borderId="0" xfId="0" applyNumberFormat="1" applyFont="1" applyAlignment="1" applyProtection="1">
      <alignment vertical="top"/>
    </xf>
    <xf numFmtId="176" fontId="47" fillId="0" borderId="0" xfId="0" applyNumberFormat="1" applyFont="1" applyFill="1" applyAlignment="1" applyProtection="1">
      <alignment vertical="top"/>
    </xf>
    <xf numFmtId="0" fontId="40" fillId="0" borderId="0" xfId="0" applyFont="1" applyAlignment="1">
      <alignment horizontal="left" vertical="top"/>
    </xf>
    <xf numFmtId="0" fontId="49" fillId="0" borderId="0" xfId="0" applyFont="1" applyAlignment="1">
      <alignment vertical="top"/>
    </xf>
    <xf numFmtId="0" fontId="49" fillId="0" borderId="0" xfId="0" applyFont="1" applyFill="1" applyAlignment="1">
      <alignment vertical="top"/>
    </xf>
    <xf numFmtId="181" fontId="40" fillId="0" borderId="0" xfId="0" applyNumberFormat="1" applyFont="1" applyAlignment="1" applyProtection="1">
      <alignment vertical="top"/>
    </xf>
    <xf numFmtId="0" fontId="40" fillId="0" borderId="0" xfId="0" applyFont="1" applyBorder="1" applyAlignment="1" applyProtection="1">
      <alignment vertical="top"/>
    </xf>
    <xf numFmtId="0" fontId="49" fillId="0" borderId="26" xfId="0" applyFont="1" applyFill="1" applyBorder="1" applyAlignment="1" applyProtection="1">
      <alignment horizontal="right" vertical="top" wrapText="1"/>
    </xf>
    <xf numFmtId="0" fontId="40" fillId="0" borderId="0" xfId="0" applyFont="1" applyAlignment="1" applyProtection="1">
      <alignment vertical="top" wrapText="1"/>
    </xf>
    <xf numFmtId="0" fontId="45" fillId="0" borderId="0" xfId="0" applyFont="1" applyAlignment="1" applyProtection="1">
      <alignment vertical="top"/>
    </xf>
    <xf numFmtId="0" fontId="45" fillId="0" borderId="0" xfId="0" applyFont="1" applyFill="1" applyAlignment="1" applyProtection="1">
      <alignment vertical="top"/>
    </xf>
    <xf numFmtId="0" fontId="46" fillId="0" borderId="0" xfId="0" applyFont="1" applyAlignment="1" applyProtection="1">
      <alignment vertical="top"/>
    </xf>
    <xf numFmtId="176" fontId="46" fillId="0" borderId="0" xfId="0" applyNumberFormat="1" applyFont="1" applyAlignment="1" applyProtection="1">
      <alignment vertical="top"/>
    </xf>
    <xf numFmtId="15" fontId="38" fillId="27" borderId="13" xfId="0" applyNumberFormat="1" applyFont="1" applyFill="1" applyBorder="1" applyAlignment="1" applyProtection="1">
      <alignment horizontal="center" vertical="top" wrapText="1"/>
    </xf>
    <xf numFmtId="0" fontId="39" fillId="0" borderId="0" xfId="0" applyFont="1" applyFill="1" applyAlignment="1" applyProtection="1">
      <alignment vertical="top"/>
    </xf>
    <xf numFmtId="0" fontId="46" fillId="0" borderId="0" xfId="0" applyFont="1" applyAlignment="1" applyProtection="1">
      <alignment vertical="top" wrapText="1"/>
    </xf>
    <xf numFmtId="181" fontId="40" fillId="0" borderId="0" xfId="0" applyNumberFormat="1" applyFont="1" applyAlignment="1" applyProtection="1">
      <alignment vertical="top" wrapText="1"/>
    </xf>
    <xf numFmtId="0" fontId="4" fillId="0" borderId="0" xfId="0" applyFont="1" applyAlignment="1" applyProtection="1">
      <alignment vertical="top"/>
    </xf>
    <xf numFmtId="0" fontId="0" fillId="0" borderId="0" xfId="0" applyFont="1" applyAlignment="1" applyProtection="1">
      <alignment vertical="top"/>
    </xf>
    <xf numFmtId="181" fontId="4" fillId="0" borderId="0" xfId="0" applyNumberFormat="1" applyFont="1" applyAlignment="1" applyProtection="1">
      <alignment vertical="top" wrapText="1"/>
    </xf>
    <xf numFmtId="180" fontId="4" fillId="0" borderId="0" xfId="0" applyNumberFormat="1" applyFont="1" applyAlignment="1" applyProtection="1">
      <alignment vertical="top" wrapText="1"/>
    </xf>
    <xf numFmtId="0" fontId="4" fillId="0" borderId="0" xfId="0" applyNumberFormat="1" applyFont="1" applyAlignment="1" applyProtection="1">
      <alignment vertical="top" wrapText="1"/>
    </xf>
    <xf numFmtId="178" fontId="4" fillId="0" borderId="0" xfId="0" applyNumberFormat="1" applyFont="1" applyAlignment="1" applyProtection="1">
      <alignment vertical="top" wrapText="1"/>
    </xf>
    <xf numFmtId="181" fontId="0" fillId="0" borderId="0" xfId="0" applyNumberFormat="1" applyFont="1" applyAlignment="1" applyProtection="1">
      <alignment vertical="top"/>
    </xf>
    <xf numFmtId="0" fontId="0" fillId="0" borderId="0" xfId="0" applyFont="1" applyBorder="1" applyAlignment="1" applyProtection="1">
      <alignment vertical="top"/>
    </xf>
    <xf numFmtId="0" fontId="0" fillId="0" borderId="0" xfId="0" applyFont="1" applyFill="1" applyBorder="1" applyAlignment="1" applyProtection="1">
      <alignment vertical="top"/>
    </xf>
    <xf numFmtId="0" fontId="0" fillId="0" borderId="0" xfId="0" applyFont="1" applyAlignment="1" applyProtection="1">
      <alignment vertical="top" wrapText="1"/>
    </xf>
    <xf numFmtId="0" fontId="0" fillId="0" borderId="0" xfId="41" applyFont="1" applyAlignment="1" applyProtection="1">
      <alignment vertical="top"/>
    </xf>
    <xf numFmtId="176" fontId="0" fillId="0" borderId="0" xfId="0" applyNumberFormat="1" applyFont="1" applyAlignment="1" applyProtection="1">
      <alignment vertical="top"/>
    </xf>
    <xf numFmtId="9" fontId="0" fillId="0" borderId="0" xfId="0" applyNumberFormat="1" applyFont="1" applyAlignment="1" applyProtection="1">
      <alignment vertical="top"/>
    </xf>
    <xf numFmtId="2" fontId="0" fillId="0" borderId="0" xfId="0" applyNumberFormat="1" applyFont="1" applyAlignment="1" applyProtection="1">
      <alignment vertical="top"/>
    </xf>
    <xf numFmtId="0" fontId="4" fillId="0" borderId="0" xfId="0" applyFont="1" applyFill="1" applyAlignment="1" applyProtection="1">
      <alignment vertical="top"/>
    </xf>
    <xf numFmtId="178" fontId="0" fillId="34" borderId="13" xfId="41" applyNumberFormat="1" applyFont="1" applyFill="1" applyBorder="1" applyAlignment="1" applyProtection="1">
      <alignment horizontal="left" vertical="top" wrapText="1"/>
    </xf>
    <xf numFmtId="0" fontId="38" fillId="27" borderId="13" xfId="41" applyFont="1" applyFill="1" applyBorder="1" applyAlignment="1" applyProtection="1">
      <alignment horizontal="center" vertical="top" wrapText="1"/>
    </xf>
    <xf numFmtId="176" fontId="38" fillId="27" borderId="13" xfId="0" applyNumberFormat="1" applyFont="1" applyFill="1" applyBorder="1" applyAlignment="1" applyProtection="1">
      <alignment horizontal="center" vertical="top" wrapText="1"/>
    </xf>
    <xf numFmtId="179" fontId="38" fillId="27" borderId="13" xfId="0" applyNumberFormat="1" applyFont="1" applyFill="1" applyBorder="1" applyAlignment="1" applyProtection="1">
      <alignment horizontal="center" vertical="top" wrapText="1"/>
    </xf>
    <xf numFmtId="179" fontId="38" fillId="27" borderId="16" xfId="0" applyNumberFormat="1" applyFont="1" applyFill="1" applyBorder="1" applyAlignment="1" applyProtection="1">
      <alignment horizontal="center" vertical="top" wrapText="1"/>
    </xf>
    <xf numFmtId="0" fontId="33" fillId="0" borderId="0" xfId="0" applyFont="1" applyAlignment="1" applyProtection="1">
      <alignment vertical="top"/>
    </xf>
    <xf numFmtId="0" fontId="43" fillId="0" borderId="0" xfId="0" applyFont="1" applyAlignment="1" applyProtection="1">
      <alignment vertical="top"/>
    </xf>
    <xf numFmtId="0" fontId="43" fillId="0" borderId="0" xfId="0" applyFont="1" applyAlignment="1" applyProtection="1">
      <alignment vertical="top" wrapText="1"/>
    </xf>
    <xf numFmtId="9" fontId="0" fillId="0" borderId="0" xfId="0" applyNumberFormat="1" applyFont="1" applyAlignment="1" applyProtection="1">
      <alignment vertical="top" wrapText="1"/>
    </xf>
    <xf numFmtId="181" fontId="0" fillId="0" borderId="0" xfId="0" applyNumberFormat="1" applyFont="1" applyAlignment="1" applyProtection="1">
      <alignment vertical="top" wrapText="1"/>
    </xf>
    <xf numFmtId="0" fontId="25" fillId="29" borderId="29" xfId="0" applyFont="1" applyFill="1" applyBorder="1" applyAlignment="1" applyProtection="1">
      <alignment vertical="top" wrapText="1"/>
    </xf>
    <xf numFmtId="0" fontId="33" fillId="0" borderId="0" xfId="0" applyFont="1" applyAlignment="1" applyProtection="1">
      <alignment horizontal="left" vertical="top"/>
    </xf>
    <xf numFmtId="0" fontId="38" fillId="27" borderId="11" xfId="0" applyFont="1" applyFill="1" applyBorder="1" applyAlignment="1" applyProtection="1">
      <alignment horizontal="left" vertical="top" wrapText="1"/>
    </xf>
    <xf numFmtId="0" fontId="4" fillId="0" borderId="0" xfId="0" applyFont="1" applyFill="1" applyBorder="1" applyAlignment="1" applyProtection="1">
      <alignment horizontal="left" vertical="top" wrapText="1"/>
    </xf>
    <xf numFmtId="0" fontId="25" fillId="29" borderId="29" xfId="0" applyFont="1" applyFill="1" applyBorder="1" applyAlignment="1" applyProtection="1">
      <alignment horizontal="left" vertical="top"/>
    </xf>
    <xf numFmtId="0" fontId="0" fillId="0" borderId="0" xfId="0" applyFont="1" applyAlignment="1" applyProtection="1">
      <alignment horizontal="left" vertical="top" wrapText="1"/>
    </xf>
    <xf numFmtId="0" fontId="0" fillId="0" borderId="0" xfId="0" applyFont="1" applyFill="1" applyAlignment="1" applyProtection="1">
      <alignment horizontal="left" vertical="top"/>
    </xf>
    <xf numFmtId="176" fontId="0" fillId="0" borderId="0" xfId="0" applyNumberFormat="1" applyFont="1" applyFill="1" applyAlignment="1" applyProtection="1">
      <alignment horizontal="left" vertical="top"/>
    </xf>
    <xf numFmtId="176" fontId="0" fillId="0" borderId="0" xfId="0" applyNumberFormat="1" applyFont="1" applyAlignment="1" applyProtection="1">
      <alignment horizontal="left" vertical="top"/>
    </xf>
    <xf numFmtId="2" fontId="0" fillId="28" borderId="0" xfId="41" applyNumberFormat="1" applyFont="1" applyFill="1" applyAlignment="1" applyProtection="1">
      <alignment horizontal="left" vertical="top"/>
    </xf>
    <xf numFmtId="0" fontId="0" fillId="0" borderId="0" xfId="0" applyFont="1" applyFill="1" applyBorder="1" applyAlignment="1" applyProtection="1">
      <alignment horizontal="left" vertical="top"/>
    </xf>
    <xf numFmtId="0" fontId="0" fillId="0" borderId="0" xfId="0" applyFont="1" applyBorder="1" applyAlignment="1" applyProtection="1">
      <alignment horizontal="left" vertical="top"/>
    </xf>
    <xf numFmtId="0" fontId="0" fillId="33" borderId="0" xfId="0" applyFont="1" applyFill="1" applyBorder="1" applyAlignment="1" applyProtection="1">
      <alignment horizontal="left" vertical="top"/>
    </xf>
    <xf numFmtId="0" fontId="4" fillId="0" borderId="0" xfId="41" applyFont="1" applyAlignment="1" applyProtection="1">
      <alignment vertical="top"/>
    </xf>
    <xf numFmtId="0" fontId="0" fillId="0" borderId="0" xfId="0" applyFont="1" applyFill="1" applyAlignment="1" applyProtection="1">
      <alignment vertical="top"/>
    </xf>
    <xf numFmtId="184" fontId="4" fillId="26" borderId="10" xfId="41" applyNumberFormat="1" applyFont="1" applyFill="1" applyBorder="1" applyAlignment="1" applyProtection="1">
      <alignment horizontal="right" vertical="top"/>
    </xf>
    <xf numFmtId="0" fontId="25" fillId="28" borderId="0" xfId="0" applyFont="1" applyFill="1" applyBorder="1" applyAlignment="1" applyProtection="1">
      <alignment horizontal="right" vertical="top" wrapText="1"/>
    </xf>
    <xf numFmtId="0" fontId="25" fillId="28" borderId="26" xfId="0" applyFont="1" applyFill="1" applyBorder="1" applyAlignment="1" applyProtection="1">
      <alignment horizontal="right" vertical="top" wrapText="1"/>
    </xf>
    <xf numFmtId="176" fontId="43" fillId="0" borderId="0" xfId="0" applyNumberFormat="1" applyFont="1" applyAlignment="1" applyProtection="1">
      <alignment vertical="top"/>
    </xf>
    <xf numFmtId="0" fontId="33" fillId="0" borderId="0" xfId="41" applyFont="1" applyAlignment="1" applyProtection="1">
      <alignment vertical="top"/>
    </xf>
    <xf numFmtId="0" fontId="43" fillId="0" borderId="0" xfId="0" applyFont="1" applyFill="1" applyAlignment="1" applyProtection="1">
      <alignment vertical="top"/>
    </xf>
    <xf numFmtId="176" fontId="38" fillId="27" borderId="10" xfId="0" applyNumberFormat="1" applyFont="1" applyFill="1" applyBorder="1" applyAlignment="1" applyProtection="1">
      <alignment horizontal="center" vertical="top" wrapText="1"/>
    </xf>
    <xf numFmtId="0" fontId="39" fillId="0" borderId="0" xfId="0" applyFont="1" applyFill="1" applyAlignment="1" applyProtection="1">
      <alignment horizontal="left" vertical="top"/>
    </xf>
    <xf numFmtId="0" fontId="38" fillId="0" borderId="0" xfId="0" applyFont="1" applyFill="1" applyAlignment="1" applyProtection="1">
      <alignment horizontal="left" vertical="top"/>
    </xf>
    <xf numFmtId="180" fontId="4" fillId="0" borderId="0" xfId="0" applyNumberFormat="1" applyFont="1" applyAlignment="1" applyProtection="1">
      <alignment horizontal="right" vertical="top" wrapText="1"/>
    </xf>
    <xf numFmtId="181" fontId="4" fillId="0" borderId="0" xfId="0" applyNumberFormat="1" applyFont="1" applyAlignment="1" applyProtection="1">
      <alignment horizontal="right" vertical="top" wrapText="1"/>
    </xf>
    <xf numFmtId="0" fontId="49" fillId="0" borderId="0" xfId="0" applyFont="1" applyAlignment="1" applyProtection="1"/>
    <xf numFmtId="176" fontId="40" fillId="0" borderId="0" xfId="41" applyNumberFormat="1" applyFont="1" applyAlignment="1" applyProtection="1">
      <alignment horizontal="left" vertical="top"/>
    </xf>
    <xf numFmtId="0" fontId="47" fillId="0" borderId="0" xfId="0" applyFont="1" applyAlignment="1" applyProtection="1">
      <alignment horizontal="left" vertical="top"/>
    </xf>
    <xf numFmtId="0" fontId="47" fillId="0" borderId="0" xfId="0" applyFont="1" applyAlignment="1" applyProtection="1">
      <alignment horizontal="left" vertical="top" wrapText="1"/>
    </xf>
    <xf numFmtId="9" fontId="40" fillId="0" borderId="0" xfId="0" applyNumberFormat="1" applyFont="1" applyAlignment="1" applyProtection="1">
      <alignment horizontal="left" vertical="top"/>
    </xf>
    <xf numFmtId="176" fontId="40" fillId="0" borderId="0" xfId="0" applyNumberFormat="1" applyFont="1" applyAlignment="1" applyProtection="1">
      <alignment horizontal="left" vertical="top"/>
    </xf>
    <xf numFmtId="0" fontId="40" fillId="0" borderId="0" xfId="0" applyFont="1" applyBorder="1" applyAlignment="1" applyProtection="1">
      <alignment horizontal="left" vertical="top"/>
    </xf>
    <xf numFmtId="0" fontId="40" fillId="33" borderId="0" xfId="0" applyFont="1" applyFill="1" applyBorder="1" applyAlignment="1" applyProtection="1">
      <alignment horizontal="left" vertical="top"/>
    </xf>
    <xf numFmtId="0" fontId="42" fillId="28" borderId="13" xfId="0" applyFont="1" applyFill="1" applyBorder="1" applyAlignment="1" applyProtection="1">
      <alignment horizontal="left" vertical="top" wrapText="1"/>
    </xf>
    <xf numFmtId="0" fontId="49" fillId="28" borderId="13" xfId="0" applyFont="1" applyFill="1" applyBorder="1" applyAlignment="1" applyProtection="1">
      <alignment horizontal="left" vertical="top" wrapText="1"/>
    </xf>
    <xf numFmtId="0" fontId="40" fillId="0" borderId="0" xfId="0" applyFont="1" applyFill="1" applyBorder="1" applyAlignment="1" applyProtection="1">
      <alignment horizontal="left" vertical="top"/>
    </xf>
    <xf numFmtId="9" fontId="40" fillId="0" borderId="0" xfId="0" applyNumberFormat="1" applyFont="1" applyAlignment="1" applyProtection="1">
      <alignment horizontal="left" vertical="top" wrapText="1"/>
    </xf>
    <xf numFmtId="16" fontId="40" fillId="0" borderId="0" xfId="0" applyNumberFormat="1" applyFont="1" applyAlignment="1" applyProtection="1">
      <alignment horizontal="left" vertical="top" wrapText="1"/>
    </xf>
    <xf numFmtId="0" fontId="40" fillId="0" borderId="13" xfId="0" applyFont="1" applyBorder="1" applyAlignment="1" applyProtection="1">
      <alignment horizontal="left" vertical="top" wrapText="1"/>
    </xf>
    <xf numFmtId="0" fontId="49" fillId="28" borderId="0" xfId="0" applyFont="1" applyFill="1" applyBorder="1" applyAlignment="1" applyProtection="1">
      <alignment horizontal="right" vertical="top" wrapText="1"/>
    </xf>
    <xf numFmtId="0" fontId="49" fillId="0" borderId="13" xfId="0" applyFont="1" applyFill="1" applyBorder="1" applyAlignment="1" applyProtection="1">
      <alignment horizontal="right" vertical="top" wrapText="1"/>
    </xf>
    <xf numFmtId="176" fontId="46" fillId="0" borderId="0" xfId="0" applyNumberFormat="1" applyFont="1" applyProtection="1"/>
    <xf numFmtId="0" fontId="45" fillId="28" borderId="0" xfId="0" applyFont="1" applyFill="1" applyAlignment="1" applyProtection="1">
      <alignment vertical="top"/>
    </xf>
    <xf numFmtId="0" fontId="46" fillId="28" borderId="0" xfId="0" applyFont="1" applyFill="1" applyAlignment="1">
      <alignment vertical="top"/>
    </xf>
    <xf numFmtId="0" fontId="46" fillId="28" borderId="0" xfId="0" applyFont="1" applyFill="1" applyAlignment="1">
      <alignment horizontal="center" vertical="top"/>
    </xf>
    <xf numFmtId="0" fontId="40" fillId="28" borderId="0" xfId="0" applyFont="1" applyFill="1" applyAlignment="1">
      <alignment vertical="top"/>
    </xf>
    <xf numFmtId="0" fontId="47" fillId="33" borderId="0" xfId="0" applyFont="1" applyFill="1" applyBorder="1" applyAlignment="1" applyProtection="1">
      <alignment horizontal="center" vertical="top" wrapText="1"/>
    </xf>
    <xf numFmtId="0" fontId="40" fillId="28" borderId="0" xfId="0" applyFont="1" applyFill="1" applyAlignment="1">
      <alignment horizontal="center" vertical="top"/>
    </xf>
    <xf numFmtId="0" fontId="47" fillId="33" borderId="0" xfId="0" applyFont="1" applyFill="1" applyAlignment="1" applyProtection="1">
      <alignment vertical="top"/>
    </xf>
    <xf numFmtId="0" fontId="38" fillId="27" borderId="15" xfId="0" applyFont="1" applyFill="1" applyBorder="1" applyAlignment="1" applyProtection="1">
      <alignment vertical="top" wrapText="1"/>
    </xf>
    <xf numFmtId="0" fontId="39" fillId="28" borderId="0" xfId="0" applyFont="1" applyFill="1" applyAlignment="1">
      <alignment vertical="top"/>
    </xf>
    <xf numFmtId="16" fontId="38" fillId="27" borderId="15" xfId="0" applyNumberFormat="1" applyFont="1" applyFill="1" applyBorder="1" applyAlignment="1" applyProtection="1">
      <alignment horizontal="center" vertical="top" wrapText="1"/>
    </xf>
    <xf numFmtId="184" fontId="47" fillId="26" borderId="11" xfId="41" applyNumberFormat="1" applyFont="1" applyFill="1" applyBorder="1" applyAlignment="1" applyProtection="1">
      <alignment horizontal="right" vertical="top" wrapText="1"/>
    </xf>
    <xf numFmtId="184" fontId="4" fillId="26" borderId="11" xfId="41" applyNumberFormat="1" applyFont="1" applyFill="1" applyBorder="1" applyAlignment="1" applyProtection="1">
      <alignment horizontal="right" vertical="top" wrapText="1"/>
    </xf>
    <xf numFmtId="0" fontId="4" fillId="34" borderId="13" xfId="0" applyFont="1" applyFill="1" applyBorder="1" applyAlignment="1">
      <alignment horizontal="center" vertical="top"/>
    </xf>
    <xf numFmtId="183" fontId="40" fillId="37" borderId="13" xfId="0" applyNumberFormat="1" applyFont="1" applyFill="1" applyBorder="1" applyAlignment="1" applyProtection="1">
      <alignment horizontal="center" vertical="top" wrapText="1"/>
    </xf>
    <xf numFmtId="0" fontId="40" fillId="37" borderId="13" xfId="0" applyNumberFormat="1" applyFont="1" applyFill="1" applyBorder="1" applyAlignment="1" applyProtection="1">
      <alignment horizontal="center" vertical="top" wrapText="1"/>
    </xf>
    <xf numFmtId="0" fontId="40" fillId="37" borderId="13" xfId="0" applyFont="1" applyFill="1" applyBorder="1" applyAlignment="1" applyProtection="1">
      <alignment horizontal="left" vertical="top" wrapText="1"/>
    </xf>
    <xf numFmtId="0" fontId="40" fillId="37" borderId="13" xfId="41" applyFont="1" applyFill="1" applyBorder="1" applyAlignment="1" applyProtection="1">
      <alignment horizontal="left" vertical="top" wrapText="1"/>
    </xf>
    <xf numFmtId="0" fontId="49" fillId="37" borderId="13" xfId="0" applyFont="1" applyFill="1" applyBorder="1" applyAlignment="1" applyProtection="1">
      <alignment horizontal="right" vertical="top" wrapText="1"/>
    </xf>
    <xf numFmtId="0" fontId="4" fillId="0" borderId="0" xfId="0" applyFont="1" applyAlignment="1" applyProtection="1">
      <alignment horizontal="left" vertical="top"/>
      <protection locked="0"/>
    </xf>
    <xf numFmtId="0" fontId="4" fillId="33" borderId="0" xfId="0" applyFont="1" applyFill="1" applyAlignment="1" applyProtection="1">
      <alignment horizontal="left" vertical="top"/>
    </xf>
    <xf numFmtId="178" fontId="0" fillId="0" borderId="0" xfId="0" applyNumberFormat="1" applyFont="1" applyAlignment="1" applyProtection="1">
      <alignment vertical="top"/>
    </xf>
    <xf numFmtId="14" fontId="0" fillId="0" borderId="0" xfId="0" applyNumberFormat="1" applyFont="1" applyAlignment="1" applyProtection="1">
      <alignment vertical="top"/>
    </xf>
    <xf numFmtId="176" fontId="0" fillId="0" borderId="24" xfId="0" applyNumberFormat="1" applyFont="1" applyBorder="1" applyAlignment="1" applyProtection="1">
      <alignment horizontal="right" vertical="top"/>
    </xf>
    <xf numFmtId="176" fontId="0" fillId="0" borderId="25" xfId="0" applyNumberFormat="1" applyFont="1" applyBorder="1" applyAlignment="1" applyProtection="1">
      <alignment horizontal="right" vertical="top"/>
    </xf>
    <xf numFmtId="176" fontId="0" fillId="0" borderId="0" xfId="0" applyNumberFormat="1" applyFont="1" applyBorder="1" applyAlignment="1" applyProtection="1">
      <alignment horizontal="right" vertical="top"/>
    </xf>
    <xf numFmtId="176" fontId="0" fillId="28" borderId="0" xfId="0" applyNumberFormat="1" applyFont="1" applyFill="1" applyBorder="1" applyAlignment="1" applyProtection="1">
      <alignment horizontal="left" vertical="top"/>
    </xf>
    <xf numFmtId="179" fontId="0" fillId="0" borderId="0" xfId="0" applyNumberFormat="1" applyFont="1" applyAlignment="1" applyProtection="1">
      <alignment vertical="top"/>
    </xf>
    <xf numFmtId="179" fontId="44" fillId="27" borderId="17" xfId="0" applyNumberFormat="1" applyFont="1" applyFill="1" applyBorder="1" applyAlignment="1" applyProtection="1">
      <alignment horizontal="left" vertical="top" wrapText="1"/>
    </xf>
    <xf numFmtId="179" fontId="44" fillId="27" borderId="18" xfId="0" applyNumberFormat="1" applyFont="1" applyFill="1" applyBorder="1" applyAlignment="1" applyProtection="1">
      <alignment horizontal="left" vertical="top" wrapText="1"/>
    </xf>
    <xf numFmtId="176" fontId="4" fillId="0" borderId="0" xfId="0" applyNumberFormat="1" applyFont="1" applyAlignment="1" applyProtection="1">
      <alignment vertical="top"/>
    </xf>
    <xf numFmtId="176" fontId="4" fillId="0" borderId="0" xfId="0" applyNumberFormat="1" applyFont="1" applyBorder="1" applyAlignment="1" applyProtection="1">
      <alignment horizontal="left" vertical="top"/>
    </xf>
    <xf numFmtId="176" fontId="0" fillId="0" borderId="0" xfId="0" applyNumberFormat="1" applyFont="1" applyBorder="1" applyAlignment="1" applyProtection="1">
      <alignment horizontal="left" vertical="top"/>
    </xf>
    <xf numFmtId="0" fontId="4" fillId="0" borderId="0" xfId="0" applyFont="1" applyFill="1" applyBorder="1" applyAlignment="1" applyProtection="1">
      <alignment horizontal="center" vertical="top"/>
    </xf>
    <xf numFmtId="0" fontId="4" fillId="0" borderId="0" xfId="0" applyFont="1" applyFill="1" applyBorder="1" applyAlignment="1" applyProtection="1">
      <alignment vertical="top"/>
    </xf>
    <xf numFmtId="0" fontId="0" fillId="0" borderId="0" xfId="0" applyFont="1" applyAlignment="1" applyProtection="1">
      <alignment horizontal="center" vertical="top"/>
    </xf>
    <xf numFmtId="0" fontId="24" fillId="0" borderId="0" xfId="0" applyFont="1" applyFill="1" applyBorder="1" applyAlignment="1" applyProtection="1">
      <alignment horizontal="center" vertical="top" wrapText="1"/>
    </xf>
    <xf numFmtId="0" fontId="0" fillId="0" borderId="0" xfId="0" applyFont="1" applyFill="1" applyBorder="1" applyAlignment="1" applyProtection="1">
      <alignment horizontal="center" vertical="top"/>
    </xf>
    <xf numFmtId="177" fontId="4" fillId="0" borderId="0" xfId="0" applyNumberFormat="1" applyFont="1" applyFill="1" applyBorder="1" applyAlignment="1" applyProtection="1">
      <alignment horizontal="center" vertical="top"/>
    </xf>
    <xf numFmtId="0" fontId="0" fillId="0" borderId="0" xfId="0" applyFont="1" applyBorder="1" applyAlignment="1" applyProtection="1">
      <alignment horizontal="center" vertical="top"/>
    </xf>
    <xf numFmtId="177" fontId="4" fillId="0" borderId="0" xfId="0" applyNumberFormat="1" applyFont="1" applyBorder="1" applyAlignment="1" applyProtection="1">
      <alignment horizontal="center" vertical="top"/>
    </xf>
    <xf numFmtId="177" fontId="4" fillId="0" borderId="0" xfId="0" applyNumberFormat="1" applyFont="1" applyFill="1" applyBorder="1" applyAlignment="1" applyProtection="1">
      <alignment horizontal="left" vertical="top"/>
    </xf>
    <xf numFmtId="0" fontId="4" fillId="0" borderId="0" xfId="0" applyFont="1" applyBorder="1" applyAlignment="1" applyProtection="1">
      <alignment vertical="top"/>
    </xf>
    <xf numFmtId="0" fontId="31" fillId="27" borderId="24" xfId="0" applyFont="1" applyFill="1" applyBorder="1" applyAlignment="1" applyProtection="1">
      <alignment horizontal="center" vertical="top"/>
    </xf>
    <xf numFmtId="0" fontId="31" fillId="27" borderId="25" xfId="0" applyFont="1" applyFill="1" applyBorder="1" applyAlignment="1" applyProtection="1">
      <alignment horizontal="center" vertical="top"/>
    </xf>
    <xf numFmtId="177" fontId="0" fillId="0" borderId="0" xfId="0" applyNumberFormat="1" applyFont="1" applyFill="1" applyBorder="1" applyAlignment="1" applyProtection="1">
      <alignment horizontal="center" vertical="top"/>
    </xf>
    <xf numFmtId="2" fontId="0" fillId="0" borderId="0" xfId="0" applyNumberFormat="1" applyFont="1" applyFill="1" applyAlignment="1" applyProtection="1">
      <alignment vertical="top"/>
    </xf>
    <xf numFmtId="0" fontId="25" fillId="0" borderId="0" xfId="0" applyFont="1" applyAlignment="1" applyProtection="1">
      <alignment vertical="top"/>
    </xf>
    <xf numFmtId="0" fontId="4" fillId="0" borderId="0" xfId="0" applyFont="1" applyFill="1" applyBorder="1" applyAlignment="1" applyProtection="1">
      <alignment horizontal="left" vertical="top"/>
    </xf>
    <xf numFmtId="0" fontId="31" fillId="27" borderId="22" xfId="0" applyFont="1" applyFill="1" applyBorder="1" applyAlignment="1" applyProtection="1">
      <alignment horizontal="center" vertical="top" wrapText="1"/>
    </xf>
    <xf numFmtId="0" fontId="31" fillId="27" borderId="23" xfId="0" applyFont="1" applyFill="1" applyBorder="1" applyAlignment="1" applyProtection="1">
      <alignment horizontal="center" vertical="top" wrapText="1"/>
    </xf>
    <xf numFmtId="0" fontId="31" fillId="27" borderId="21" xfId="0" applyFont="1" applyFill="1" applyBorder="1" applyAlignment="1" applyProtection="1">
      <alignment horizontal="center" vertical="top" wrapText="1"/>
    </xf>
    <xf numFmtId="0" fontId="0" fillId="0" borderId="0" xfId="0" applyFont="1" applyAlignment="1" applyProtection="1">
      <alignment horizontal="center" vertical="top" wrapText="1"/>
    </xf>
    <xf numFmtId="0" fontId="0" fillId="28" borderId="0" xfId="40" applyFont="1" applyFill="1" applyAlignment="1" applyProtection="1">
      <alignment vertical="top" wrapText="1"/>
    </xf>
    <xf numFmtId="0" fontId="0" fillId="28" borderId="0" xfId="40" applyFont="1" applyFill="1" applyAlignment="1" applyProtection="1">
      <alignment vertical="top"/>
    </xf>
    <xf numFmtId="0" fontId="25" fillId="29" borderId="33" xfId="0" applyFont="1" applyFill="1" applyBorder="1" applyAlignment="1" applyProtection="1">
      <alignment vertical="top"/>
    </xf>
    <xf numFmtId="0" fontId="25" fillId="29" borderId="34" xfId="0" applyFont="1" applyFill="1" applyBorder="1" applyAlignment="1" applyProtection="1">
      <alignment vertical="top"/>
    </xf>
    <xf numFmtId="0" fontId="25" fillId="29" borderId="38" xfId="0" applyFont="1" applyFill="1" applyBorder="1" applyAlignment="1" applyProtection="1">
      <alignment vertical="top"/>
    </xf>
    <xf numFmtId="183" fontId="4" fillId="37" borderId="13" xfId="0" applyNumberFormat="1" applyFont="1" applyFill="1" applyBorder="1" applyAlignment="1" applyProtection="1">
      <alignment horizontal="right" vertical="top" wrapText="1"/>
    </xf>
    <xf numFmtId="183" fontId="0" fillId="37" borderId="13" xfId="0" applyNumberFormat="1" applyFont="1" applyFill="1" applyBorder="1" applyAlignment="1" applyProtection="1">
      <alignment horizontal="right" vertical="top" wrapText="1"/>
    </xf>
    <xf numFmtId="0" fontId="49" fillId="33" borderId="13" xfId="0" applyFont="1" applyFill="1" applyBorder="1" applyAlignment="1">
      <alignment horizontal="right" vertical="top" wrapText="1"/>
    </xf>
    <xf numFmtId="184" fontId="47" fillId="26" borderId="11" xfId="41" applyNumberFormat="1" applyFont="1" applyFill="1" applyBorder="1" applyAlignment="1" applyProtection="1">
      <alignment horizontal="right" vertical="top" wrapText="1"/>
    </xf>
    <xf numFmtId="184" fontId="4" fillId="26" borderId="11" xfId="41" applyNumberFormat="1" applyFont="1" applyFill="1" applyBorder="1" applyAlignment="1" applyProtection="1">
      <alignment horizontal="right" vertical="top" wrapText="1"/>
    </xf>
    <xf numFmtId="0" fontId="47" fillId="24" borderId="0" xfId="0" applyFont="1" applyFill="1" applyAlignment="1">
      <alignment vertical="top"/>
    </xf>
    <xf numFmtId="0" fontId="47" fillId="24" borderId="0" xfId="0" quotePrefix="1" applyFont="1" applyFill="1" applyAlignment="1">
      <alignment vertical="top"/>
    </xf>
    <xf numFmtId="0" fontId="2" fillId="24" borderId="0" xfId="0" applyFont="1" applyFill="1" applyAlignment="1">
      <alignment vertical="top"/>
    </xf>
    <xf numFmtId="0" fontId="2" fillId="33" borderId="13" xfId="0" applyFont="1" applyFill="1" applyBorder="1" applyAlignment="1" applyProtection="1">
      <alignment horizontal="left" vertical="top" wrapText="1"/>
    </xf>
    <xf numFmtId="0" fontId="2" fillId="0" borderId="13" xfId="0" applyFont="1" applyFill="1" applyBorder="1" applyAlignment="1" applyProtection="1">
      <alignment horizontal="left" vertical="top" wrapText="1"/>
    </xf>
    <xf numFmtId="0" fontId="2" fillId="28" borderId="13" xfId="0" applyFont="1" applyFill="1" applyBorder="1" applyAlignment="1" applyProtection="1">
      <alignment horizontal="left" vertical="top" wrapText="1"/>
    </xf>
    <xf numFmtId="0" fontId="2" fillId="28" borderId="13" xfId="0" quotePrefix="1" applyFont="1" applyFill="1" applyBorder="1" applyAlignment="1" applyProtection="1">
      <alignment horizontal="left" vertical="top" wrapText="1"/>
    </xf>
    <xf numFmtId="0" fontId="2" fillId="0" borderId="13" xfId="41" applyFont="1" applyFill="1" applyBorder="1" applyAlignment="1" applyProtection="1">
      <alignment horizontal="left" vertical="top" wrapText="1"/>
    </xf>
    <xf numFmtId="183" fontId="2" fillId="0" borderId="13" xfId="0" applyNumberFormat="1" applyFont="1" applyBorder="1" applyAlignment="1" applyProtection="1">
      <alignment horizontal="center" vertical="top" wrapText="1"/>
    </xf>
    <xf numFmtId="0" fontId="2" fillId="0" borderId="13" xfId="0" applyNumberFormat="1" applyFont="1" applyBorder="1" applyAlignment="1" applyProtection="1">
      <alignment horizontal="center" vertical="top" wrapText="1"/>
    </xf>
    <xf numFmtId="0" fontId="2" fillId="0" borderId="24" xfId="0" applyNumberFormat="1" applyFont="1" applyBorder="1" applyAlignment="1" applyProtection="1">
      <alignment horizontal="center" vertical="top" wrapText="1"/>
    </xf>
    <xf numFmtId="0" fontId="2" fillId="34" borderId="13" xfId="0" applyNumberFormat="1" applyFont="1" applyFill="1" applyBorder="1" applyAlignment="1" applyProtection="1">
      <alignment horizontal="left" vertical="top" wrapText="1"/>
    </xf>
    <xf numFmtId="0" fontId="2" fillId="0" borderId="0" xfId="0" applyFont="1" applyBorder="1" applyProtection="1"/>
    <xf numFmtId="0" fontId="2" fillId="33" borderId="13" xfId="0" applyNumberFormat="1" applyFont="1" applyFill="1" applyBorder="1" applyAlignment="1" applyProtection="1">
      <alignment horizontal="center" vertical="top" wrapText="1"/>
    </xf>
    <xf numFmtId="0" fontId="2" fillId="33" borderId="24" xfId="0" applyNumberFormat="1" applyFont="1" applyFill="1" applyBorder="1" applyAlignment="1" applyProtection="1">
      <alignment horizontal="center" vertical="top" wrapText="1"/>
    </xf>
    <xf numFmtId="0" fontId="2" fillId="33" borderId="0" xfId="0" applyFont="1" applyFill="1" applyBorder="1" applyProtection="1"/>
    <xf numFmtId="183" fontId="2" fillId="0" borderId="24" xfId="0" applyNumberFormat="1" applyFont="1" applyBorder="1" applyAlignment="1" applyProtection="1">
      <alignment horizontal="center" vertical="top" wrapText="1"/>
    </xf>
    <xf numFmtId="0" fontId="2" fillId="28" borderId="0" xfId="0" applyFont="1" applyFill="1" applyBorder="1" applyProtection="1"/>
    <xf numFmtId="0" fontId="2" fillId="33" borderId="15" xfId="0" applyFont="1" applyFill="1" applyBorder="1" applyAlignment="1" applyProtection="1">
      <alignment horizontal="left" vertical="top" wrapText="1"/>
    </xf>
    <xf numFmtId="0" fontId="2" fillId="0" borderId="13" xfId="0" applyNumberFormat="1" applyFont="1" applyFill="1" applyBorder="1" applyAlignment="1" applyProtection="1">
      <alignment horizontal="center" vertical="top" wrapText="1"/>
    </xf>
    <xf numFmtId="0" fontId="2" fillId="0" borderId="24" xfId="0" applyNumberFormat="1" applyFont="1" applyFill="1" applyBorder="1" applyAlignment="1" applyProtection="1">
      <alignment horizontal="center" vertical="top" wrapText="1"/>
    </xf>
    <xf numFmtId="0" fontId="2" fillId="0" borderId="0" xfId="0" applyFont="1" applyFill="1" applyBorder="1" applyProtection="1"/>
    <xf numFmtId="0" fontId="2" fillId="28" borderId="13" xfId="0" applyNumberFormat="1" applyFont="1" applyFill="1" applyBorder="1" applyAlignment="1" applyProtection="1">
      <alignment horizontal="center" vertical="top" wrapText="1"/>
    </xf>
    <xf numFmtId="0" fontId="2" fillId="28" borderId="24" xfId="0" applyNumberFormat="1" applyFont="1" applyFill="1" applyBorder="1" applyAlignment="1" applyProtection="1">
      <alignment horizontal="center" vertical="top" wrapText="1"/>
    </xf>
    <xf numFmtId="0" fontId="2" fillId="0" borderId="13" xfId="0" quotePrefix="1" applyFont="1" applyFill="1" applyBorder="1" applyAlignment="1" applyProtection="1">
      <alignment horizontal="left" vertical="top" wrapText="1"/>
    </xf>
    <xf numFmtId="0" fontId="2" fillId="33" borderId="24" xfId="0" applyFont="1" applyFill="1" applyBorder="1" applyAlignment="1" applyProtection="1">
      <alignment horizontal="left" vertical="top" wrapText="1"/>
    </xf>
    <xf numFmtId="0" fontId="2" fillId="0" borderId="25" xfId="0" applyFont="1" applyFill="1" applyBorder="1" applyAlignment="1" applyProtection="1">
      <alignment horizontal="left" vertical="top" wrapText="1"/>
    </xf>
    <xf numFmtId="0" fontId="2" fillId="28" borderId="26" xfId="0" applyFont="1" applyFill="1" applyBorder="1" applyAlignment="1" applyProtection="1">
      <alignment horizontal="left" vertical="top" wrapText="1"/>
    </xf>
    <xf numFmtId="0" fontId="2" fillId="33" borderId="26" xfId="0" applyFont="1" applyFill="1" applyBorder="1" applyAlignment="1" applyProtection="1">
      <alignment horizontal="right" vertical="top" wrapText="1" indent="3"/>
    </xf>
    <xf numFmtId="0" fontId="2" fillId="0" borderId="15" xfId="0" applyFont="1" applyFill="1" applyBorder="1" applyAlignment="1" applyProtection="1">
      <alignment horizontal="left" vertical="top" wrapText="1"/>
    </xf>
    <xf numFmtId="0" fontId="2" fillId="0" borderId="0" xfId="0" applyFont="1" applyFill="1" applyBorder="1" applyAlignment="1" applyProtection="1">
      <alignment horizontal="left" vertical="top" wrapText="1"/>
    </xf>
    <xf numFmtId="0" fontId="2" fillId="33" borderId="13" xfId="0" applyFont="1" applyFill="1" applyBorder="1" applyAlignment="1">
      <alignment horizontal="left" vertical="top" wrapText="1"/>
    </xf>
    <xf numFmtId="0" fontId="2" fillId="28" borderId="13" xfId="0" applyNumberFormat="1" applyFont="1" applyFill="1" applyBorder="1" applyAlignment="1" applyProtection="1">
      <alignment horizontal="left" vertical="top" wrapText="1"/>
    </xf>
    <xf numFmtId="0" fontId="2" fillId="0" borderId="13" xfId="0" applyNumberFormat="1" applyFont="1" applyFill="1" applyBorder="1" applyAlignment="1" applyProtection="1">
      <alignment horizontal="left" vertical="top" wrapText="1"/>
    </xf>
    <xf numFmtId="0" fontId="2" fillId="0" borderId="13" xfId="0" applyFont="1" applyBorder="1" applyAlignment="1" applyProtection="1">
      <alignment horizontal="left" vertical="top"/>
    </xf>
    <xf numFmtId="0" fontId="2" fillId="0" borderId="0" xfId="0" applyFont="1" applyBorder="1" applyAlignment="1" applyProtection="1">
      <alignment vertical="top"/>
    </xf>
    <xf numFmtId="0" fontId="2" fillId="0" borderId="13" xfId="0" quotePrefix="1" applyNumberFormat="1" applyFont="1" applyBorder="1" applyAlignment="1" applyProtection="1">
      <alignment horizontal="left" vertical="top" wrapText="1"/>
    </xf>
    <xf numFmtId="0" fontId="2" fillId="0" borderId="13" xfId="0" applyNumberFormat="1" applyFont="1" applyBorder="1" applyAlignment="1" applyProtection="1">
      <alignment horizontal="left" vertical="top" wrapText="1"/>
    </xf>
    <xf numFmtId="0" fontId="2" fillId="33" borderId="13" xfId="0" applyNumberFormat="1" applyFont="1" applyFill="1" applyBorder="1" applyAlignment="1" applyProtection="1">
      <alignment horizontal="left" vertical="top" wrapText="1"/>
    </xf>
    <xf numFmtId="0" fontId="2" fillId="33" borderId="13" xfId="0" quotePrefix="1" applyFont="1" applyFill="1" applyBorder="1" applyAlignment="1" applyProtection="1">
      <alignment horizontal="left" vertical="top" wrapText="1"/>
    </xf>
    <xf numFmtId="0" fontId="2" fillId="33" borderId="13" xfId="0" applyFont="1" applyFill="1" applyBorder="1" applyAlignment="1" applyProtection="1">
      <alignment horizontal="left" vertical="top"/>
    </xf>
    <xf numFmtId="0" fontId="2" fillId="33" borderId="0" xfId="0" applyFont="1" applyFill="1" applyBorder="1" applyAlignment="1" applyProtection="1">
      <alignment vertical="top"/>
    </xf>
    <xf numFmtId="0" fontId="2" fillId="0" borderId="13" xfId="0" applyFont="1" applyFill="1" applyBorder="1" applyAlignment="1" applyProtection="1">
      <alignment vertical="top" wrapText="1"/>
    </xf>
    <xf numFmtId="0" fontId="2" fillId="0" borderId="0" xfId="0" applyNumberFormat="1" applyFont="1" applyFill="1" applyBorder="1" applyAlignment="1" applyProtection="1">
      <alignment horizontal="left" vertical="top" wrapText="1"/>
    </xf>
    <xf numFmtId="0" fontId="2" fillId="0" borderId="13" xfId="0" applyFont="1" applyFill="1" applyBorder="1" applyAlignment="1">
      <alignment horizontal="left" vertical="top" wrapText="1"/>
    </xf>
    <xf numFmtId="0" fontId="2" fillId="0" borderId="13" xfId="0" applyFont="1" applyFill="1" applyBorder="1" applyAlignment="1">
      <alignment vertical="top" wrapText="1"/>
    </xf>
    <xf numFmtId="183" fontId="2" fillId="36" borderId="13" xfId="0" applyNumberFormat="1" applyFont="1" applyFill="1" applyBorder="1" applyAlignment="1" applyProtection="1">
      <alignment horizontal="center" vertical="top" wrapText="1"/>
    </xf>
    <xf numFmtId="0" fontId="2" fillId="0" borderId="0" xfId="0" applyFont="1" applyFill="1" applyBorder="1" applyAlignment="1" applyProtection="1">
      <alignment vertical="top"/>
    </xf>
    <xf numFmtId="0" fontId="2" fillId="0" borderId="13" xfId="0" applyFont="1" applyFill="1" applyBorder="1" applyAlignment="1" applyProtection="1">
      <alignment horizontal="left" vertical="top"/>
    </xf>
    <xf numFmtId="0" fontId="2" fillId="0" borderId="13" xfId="0" applyFont="1" applyFill="1" applyBorder="1" applyAlignment="1">
      <alignment horizontal="left" vertical="top"/>
    </xf>
    <xf numFmtId="0" fontId="2" fillId="0" borderId="13" xfId="0" quotePrefix="1" applyNumberFormat="1" applyFont="1" applyFill="1" applyBorder="1" applyAlignment="1" applyProtection="1">
      <alignment horizontal="left" vertical="top" wrapText="1"/>
    </xf>
    <xf numFmtId="0" fontId="2" fillId="36" borderId="13" xfId="0" applyNumberFormat="1" applyFont="1" applyFill="1" applyBorder="1" applyAlignment="1" applyProtection="1">
      <alignment horizontal="center" vertical="top" wrapText="1"/>
    </xf>
    <xf numFmtId="0" fontId="2" fillId="28" borderId="13" xfId="0" applyFont="1" applyFill="1" applyBorder="1" applyAlignment="1" applyProtection="1">
      <alignment vertical="top" wrapText="1"/>
    </xf>
    <xf numFmtId="0" fontId="2" fillId="33" borderId="13" xfId="0" applyFont="1" applyFill="1" applyBorder="1" applyAlignment="1" applyProtection="1">
      <alignment vertical="top" wrapText="1"/>
    </xf>
    <xf numFmtId="0" fontId="2" fillId="33" borderId="13" xfId="41" applyFont="1" applyFill="1" applyBorder="1" applyAlignment="1" applyProtection="1">
      <alignment horizontal="left" vertical="top" wrapText="1"/>
    </xf>
    <xf numFmtId="0" fontId="2" fillId="33" borderId="13" xfId="0" applyFont="1" applyFill="1" applyBorder="1" applyAlignment="1">
      <alignment horizontal="left" vertical="top"/>
    </xf>
    <xf numFmtId="0" fontId="2" fillId="33" borderId="13" xfId="0" applyFont="1" applyFill="1" applyBorder="1" applyAlignment="1">
      <alignment vertical="top" wrapText="1"/>
    </xf>
    <xf numFmtId="0" fontId="2" fillId="28" borderId="13" xfId="0" quotePrefix="1" applyFont="1" applyFill="1" applyBorder="1" applyAlignment="1">
      <alignment vertical="top" wrapText="1"/>
    </xf>
    <xf numFmtId="183" fontId="2" fillId="34" borderId="13" xfId="0" applyNumberFormat="1" applyFont="1" applyFill="1" applyBorder="1" applyAlignment="1">
      <alignment vertical="top"/>
    </xf>
    <xf numFmtId="0" fontId="2" fillId="28" borderId="0" xfId="0" applyFont="1" applyFill="1" applyAlignment="1">
      <alignment vertical="top"/>
    </xf>
    <xf numFmtId="0" fontId="2" fillId="28" borderId="13" xfId="0" applyFont="1" applyFill="1" applyBorder="1" applyAlignment="1">
      <alignment horizontal="left" vertical="top"/>
    </xf>
    <xf numFmtId="0" fontId="2" fillId="0" borderId="13" xfId="0" quotePrefix="1" applyFont="1" applyFill="1" applyBorder="1" applyAlignment="1">
      <alignment vertical="top" wrapText="1"/>
    </xf>
    <xf numFmtId="0" fontId="2" fillId="34" borderId="13" xfId="0" applyNumberFormat="1" applyFont="1" applyFill="1" applyBorder="1" applyAlignment="1" applyProtection="1">
      <alignment horizontal="center" vertical="top" wrapText="1"/>
    </xf>
    <xf numFmtId="0" fontId="2" fillId="0" borderId="0" xfId="0" applyFont="1" applyFill="1" applyAlignment="1">
      <alignment vertical="top"/>
    </xf>
    <xf numFmtId="0" fontId="2" fillId="28" borderId="13" xfId="0" quotePrefix="1" applyFont="1" applyFill="1" applyBorder="1" applyAlignment="1">
      <alignment horizontal="right" vertical="top" wrapText="1"/>
    </xf>
    <xf numFmtId="0" fontId="2" fillId="0" borderId="13" xfId="0" quotePrefix="1" applyFont="1" applyFill="1" applyBorder="1" applyAlignment="1">
      <alignment horizontal="right" vertical="top" wrapText="1"/>
    </xf>
    <xf numFmtId="0" fontId="2" fillId="28" borderId="13" xfId="0" applyFont="1" applyFill="1" applyBorder="1" applyAlignment="1">
      <alignment horizontal="left" vertical="top" wrapText="1"/>
    </xf>
    <xf numFmtId="0" fontId="2" fillId="28" borderId="13" xfId="0" applyFont="1" applyFill="1" applyBorder="1" applyAlignment="1">
      <alignment horizontal="right" vertical="top" wrapText="1"/>
    </xf>
    <xf numFmtId="0" fontId="1" fillId="0" borderId="13" xfId="0" applyFont="1" applyFill="1" applyBorder="1" applyAlignment="1" applyProtection="1">
      <alignment horizontal="left" vertical="top" wrapText="1"/>
    </xf>
    <xf numFmtId="0" fontId="1" fillId="28" borderId="13" xfId="0" quotePrefix="1" applyFont="1" applyFill="1" applyBorder="1" applyAlignment="1" applyProtection="1">
      <alignment horizontal="left" vertical="top" wrapText="1"/>
    </xf>
    <xf numFmtId="0" fontId="51" fillId="28" borderId="13" xfId="0" quotePrefix="1" applyFont="1" applyFill="1" applyBorder="1" applyAlignment="1" applyProtection="1">
      <alignment horizontal="left" vertical="top" wrapText="1"/>
    </xf>
    <xf numFmtId="0" fontId="52" fillId="28" borderId="13" xfId="0" quotePrefix="1" applyFont="1" applyFill="1" applyBorder="1" applyAlignment="1" applyProtection="1">
      <alignment horizontal="left" vertical="top" wrapText="1"/>
    </xf>
    <xf numFmtId="0" fontId="2" fillId="36" borderId="13" xfId="0" applyFont="1" applyFill="1" applyBorder="1" applyAlignment="1" applyProtection="1">
      <alignment horizontal="left" vertical="top" wrapText="1"/>
    </xf>
    <xf numFmtId="0" fontId="1" fillId="36" borderId="13" xfId="0" applyFont="1" applyFill="1" applyBorder="1" applyAlignment="1" applyProtection="1">
      <alignment horizontal="left" vertical="top" wrapText="1"/>
    </xf>
    <xf numFmtId="0" fontId="51" fillId="36" borderId="13" xfId="0" quotePrefix="1" applyFont="1" applyFill="1" applyBorder="1" applyAlignment="1" applyProtection="1">
      <alignment horizontal="left" vertical="top" wrapText="1"/>
    </xf>
    <xf numFmtId="0" fontId="2" fillId="36" borderId="13" xfId="41" applyFont="1" applyFill="1" applyBorder="1" applyAlignment="1" applyProtection="1">
      <alignment horizontal="left" vertical="top" wrapText="1"/>
    </xf>
    <xf numFmtId="0" fontId="2" fillId="36" borderId="24" xfId="0" applyNumberFormat="1" applyFont="1" applyFill="1" applyBorder="1" applyAlignment="1" applyProtection="1">
      <alignment horizontal="center" vertical="top" wrapText="1"/>
    </xf>
    <xf numFmtId="0" fontId="2" fillId="36" borderId="13" xfId="0" applyNumberFormat="1" applyFont="1" applyFill="1" applyBorder="1" applyAlignment="1" applyProtection="1">
      <alignment horizontal="left" vertical="top" wrapText="1"/>
    </xf>
    <xf numFmtId="0" fontId="2" fillId="36" borderId="0" xfId="0" applyFont="1" applyFill="1" applyBorder="1" applyProtection="1"/>
    <xf numFmtId="0" fontId="0" fillId="0" borderId="0" xfId="0" applyAlignment="1">
      <alignment horizontal="left" vertical="top" wrapText="1"/>
    </xf>
    <xf numFmtId="0" fontId="54" fillId="28" borderId="13" xfId="0" quotePrefix="1" applyFont="1" applyFill="1" applyBorder="1" applyAlignment="1" applyProtection="1">
      <alignment horizontal="left" vertical="top" wrapText="1"/>
    </xf>
    <xf numFmtId="0" fontId="52" fillId="36" borderId="13" xfId="0" quotePrefix="1" applyFont="1" applyFill="1" applyBorder="1" applyAlignment="1" applyProtection="1">
      <alignment horizontal="left" vertical="top" wrapText="1"/>
    </xf>
    <xf numFmtId="0" fontId="1" fillId="36" borderId="13" xfId="0" quotePrefix="1" applyFont="1" applyFill="1" applyBorder="1" applyAlignment="1" applyProtection="1">
      <alignment horizontal="left" vertical="top" wrapText="1"/>
    </xf>
    <xf numFmtId="0" fontId="49" fillId="36" borderId="26" xfId="0" applyFont="1" applyFill="1" applyBorder="1" applyAlignment="1" applyProtection="1">
      <alignment horizontal="right" vertical="top" wrapText="1" indent="3"/>
    </xf>
    <xf numFmtId="0" fontId="42" fillId="36" borderId="13" xfId="0" applyFont="1" applyFill="1" applyBorder="1" applyAlignment="1" applyProtection="1">
      <alignment horizontal="left" vertical="top" wrapText="1"/>
    </xf>
    <xf numFmtId="0" fontId="2" fillId="36" borderId="13" xfId="0" quotePrefix="1" applyFont="1" applyFill="1" applyBorder="1" applyAlignment="1" applyProtection="1">
      <alignment horizontal="left" vertical="top" wrapText="1"/>
    </xf>
    <xf numFmtId="0" fontId="1" fillId="0" borderId="13" xfId="0" applyNumberFormat="1" applyFont="1" applyBorder="1" applyAlignment="1" applyProtection="1">
      <alignment horizontal="left" vertical="top" wrapText="1"/>
    </xf>
    <xf numFmtId="0" fontId="52" fillId="0" borderId="13" xfId="0" applyNumberFormat="1" applyFont="1" applyBorder="1" applyAlignment="1" applyProtection="1">
      <alignment horizontal="left" vertical="top" wrapText="1"/>
    </xf>
    <xf numFmtId="0" fontId="52" fillId="36" borderId="13" xfId="0" applyNumberFormat="1" applyFont="1" applyFill="1" applyBorder="1" applyAlignment="1" applyProtection="1">
      <alignment horizontal="left" vertical="top" wrapText="1"/>
    </xf>
    <xf numFmtId="0" fontId="2" fillId="36" borderId="0" xfId="0" applyFont="1" applyFill="1" applyBorder="1" applyAlignment="1" applyProtection="1">
      <alignment vertical="top"/>
    </xf>
    <xf numFmtId="0" fontId="49" fillId="36" borderId="26" xfId="0" applyFont="1" applyFill="1" applyBorder="1" applyAlignment="1" applyProtection="1">
      <alignment horizontal="right" vertical="top" wrapText="1"/>
    </xf>
    <xf numFmtId="0" fontId="52" fillId="33" borderId="13" xfId="0" applyNumberFormat="1" applyFont="1" applyFill="1" applyBorder="1" applyAlignment="1" applyProtection="1">
      <alignment horizontal="left" vertical="top" wrapText="1"/>
    </xf>
    <xf numFmtId="0" fontId="52" fillId="33" borderId="13" xfId="0" quotePrefix="1" applyFont="1" applyFill="1" applyBorder="1" applyAlignment="1" applyProtection="1">
      <alignment horizontal="left" vertical="top" wrapText="1"/>
    </xf>
    <xf numFmtId="0" fontId="2" fillId="36" borderId="13" xfId="0" applyFont="1" applyFill="1" applyBorder="1" applyAlignment="1" applyProtection="1">
      <alignment horizontal="left" vertical="top"/>
    </xf>
    <xf numFmtId="0" fontId="2" fillId="36" borderId="15" xfId="0" applyFont="1" applyFill="1" applyBorder="1" applyAlignment="1" applyProtection="1">
      <alignment horizontal="left" vertical="top" wrapText="1"/>
    </xf>
    <xf numFmtId="0" fontId="52" fillId="0" borderId="13" xfId="0" applyNumberFormat="1" applyFont="1" applyFill="1" applyBorder="1" applyAlignment="1" applyProtection="1">
      <alignment horizontal="left" vertical="top" wrapText="1"/>
    </xf>
    <xf numFmtId="0" fontId="52" fillId="28" borderId="13" xfId="0" applyFont="1" applyFill="1" applyBorder="1" applyAlignment="1" applyProtection="1">
      <alignment horizontal="left" vertical="top" wrapText="1"/>
    </xf>
    <xf numFmtId="0" fontId="2" fillId="36" borderId="13" xfId="0" applyFont="1" applyFill="1" applyBorder="1" applyAlignment="1" applyProtection="1">
      <alignment vertical="top" wrapText="1"/>
    </xf>
    <xf numFmtId="0" fontId="0" fillId="36" borderId="0" xfId="0" quotePrefix="1" applyFill="1" applyAlignment="1">
      <alignment horizontal="left" vertical="top" wrapText="1"/>
    </xf>
    <xf numFmtId="0" fontId="52" fillId="0" borderId="13" xfId="0" applyFont="1" applyBorder="1" applyAlignment="1" applyProtection="1">
      <alignment horizontal="left" vertical="top" wrapText="1"/>
    </xf>
    <xf numFmtId="0" fontId="31" fillId="38" borderId="13" xfId="0" applyFont="1" applyFill="1" applyBorder="1" applyAlignment="1">
      <alignment horizontal="center" vertical="top" wrapText="1"/>
    </xf>
    <xf numFmtId="0" fontId="0" fillId="0" borderId="13" xfId="0" applyBorder="1" applyAlignment="1">
      <alignment horizontal="left" vertical="top" wrapText="1"/>
    </xf>
    <xf numFmtId="0" fontId="0" fillId="0" borderId="13" xfId="0" applyFont="1" applyFill="1" applyBorder="1" applyAlignment="1">
      <alignment horizontal="left" vertical="top" wrapText="1"/>
    </xf>
    <xf numFmtId="0" fontId="0" fillId="33" borderId="13" xfId="0" applyFont="1" applyFill="1" applyBorder="1" applyAlignment="1">
      <alignment horizontal="left" vertical="top" wrapText="1"/>
    </xf>
    <xf numFmtId="0" fontId="0" fillId="33" borderId="13" xfId="0" applyFill="1" applyBorder="1" applyAlignment="1">
      <alignment horizontal="left" vertical="top" wrapText="1"/>
    </xf>
    <xf numFmtId="0" fontId="33" fillId="0" borderId="0" xfId="0" applyFont="1"/>
    <xf numFmtId="0" fontId="2" fillId="36" borderId="30" xfId="0" applyFont="1" applyFill="1" applyBorder="1" applyAlignment="1" applyProtection="1">
      <alignment horizontal="left" vertical="top" wrapText="1"/>
    </xf>
    <xf numFmtId="0" fontId="4" fillId="24" borderId="13" xfId="0" applyFont="1" applyFill="1" applyBorder="1" applyAlignment="1">
      <alignment horizontal="left" vertical="top"/>
    </xf>
    <xf numFmtId="0" fontId="0" fillId="24" borderId="0" xfId="0" quotePrefix="1" applyFill="1" applyAlignment="1">
      <alignment horizontal="left" vertical="top" wrapText="1"/>
    </xf>
    <xf numFmtId="0" fontId="0" fillId="24" borderId="0" xfId="0" quotePrefix="1" applyFont="1" applyFill="1" applyAlignment="1">
      <alignment horizontal="left" vertical="top" wrapText="1"/>
    </xf>
    <xf numFmtId="0" fontId="47" fillId="25" borderId="13" xfId="0" applyFont="1" applyFill="1" applyBorder="1" applyAlignment="1">
      <alignment horizontal="left" vertical="top"/>
    </xf>
    <xf numFmtId="0" fontId="2" fillId="24" borderId="0" xfId="0" applyFont="1" applyFill="1" applyAlignment="1">
      <alignment horizontal="left" vertical="top"/>
    </xf>
    <xf numFmtId="0" fontId="49" fillId="24" borderId="0" xfId="0" applyFont="1" applyFill="1" applyAlignment="1">
      <alignment horizontal="left" vertical="top"/>
    </xf>
    <xf numFmtId="0" fontId="4" fillId="24" borderId="0" xfId="0" applyFont="1" applyFill="1" applyAlignment="1">
      <alignment horizontal="left" vertical="top"/>
    </xf>
    <xf numFmtId="0" fontId="0" fillId="24" borderId="0" xfId="0" applyFont="1" applyFill="1" applyAlignment="1">
      <alignment horizontal="left" vertical="top" wrapText="1"/>
    </xf>
    <xf numFmtId="0" fontId="0" fillId="24" borderId="0" xfId="0" quotePrefix="1" applyFill="1" applyAlignment="1">
      <alignment horizontal="left" vertical="top"/>
    </xf>
    <xf numFmtId="0" fontId="0" fillId="24" borderId="0" xfId="0" quotePrefix="1" applyFont="1" applyFill="1" applyAlignment="1">
      <alignment horizontal="left" vertical="top"/>
    </xf>
    <xf numFmtId="0" fontId="0" fillId="24" borderId="0" xfId="0" applyFont="1" applyFill="1" applyAlignment="1">
      <alignment horizontal="left" vertical="top"/>
    </xf>
    <xf numFmtId="0" fontId="25" fillId="24" borderId="0" xfId="0" applyFont="1" applyFill="1" applyAlignment="1">
      <alignment horizontal="left" vertical="top" wrapText="1"/>
    </xf>
    <xf numFmtId="0" fontId="25" fillId="24" borderId="0" xfId="0" applyFont="1" applyFill="1" applyAlignment="1">
      <alignment horizontal="left" vertical="top"/>
    </xf>
    <xf numFmtId="0" fontId="0" fillId="28" borderId="13" xfId="0" applyFont="1" applyFill="1" applyBorder="1" applyAlignment="1">
      <alignment horizontal="left" vertical="top"/>
    </xf>
    <xf numFmtId="0" fontId="0" fillId="25" borderId="13" xfId="0" applyFont="1" applyFill="1" applyBorder="1" applyAlignment="1">
      <alignment horizontal="left" vertical="top"/>
    </xf>
    <xf numFmtId="0" fontId="2" fillId="24" borderId="0" xfId="0" quotePrefix="1" applyFont="1" applyFill="1" applyAlignment="1">
      <alignment horizontal="left" vertical="top" wrapText="1"/>
    </xf>
    <xf numFmtId="0" fontId="2" fillId="24" borderId="0" xfId="0" quotePrefix="1" applyFont="1" applyFill="1" applyAlignment="1">
      <alignment horizontal="left" vertical="top"/>
    </xf>
    <xf numFmtId="0" fontId="2" fillId="28" borderId="13" xfId="0" applyFont="1" applyFill="1" applyBorder="1" applyAlignment="1">
      <alignment horizontal="left" vertical="top"/>
    </xf>
    <xf numFmtId="0" fontId="49" fillId="24" borderId="0" xfId="0" applyFont="1" applyFill="1" applyAlignment="1">
      <alignment horizontal="left" vertical="top" wrapText="1"/>
    </xf>
    <xf numFmtId="0" fontId="2" fillId="28" borderId="13" xfId="0" applyFont="1" applyFill="1" applyBorder="1" applyAlignment="1">
      <alignment horizontal="left" vertical="top" wrapText="1"/>
    </xf>
    <xf numFmtId="0" fontId="0" fillId="24" borderId="0" xfId="0" applyFill="1" applyAlignment="1">
      <alignment horizontal="left" vertical="top"/>
    </xf>
    <xf numFmtId="0" fontId="0" fillId="30" borderId="13" xfId="0" applyFill="1" applyBorder="1" applyAlignment="1">
      <alignment horizontal="left" vertical="top" wrapText="1"/>
    </xf>
    <xf numFmtId="0" fontId="0" fillId="30" borderId="13" xfId="0" applyFont="1" applyFill="1" applyBorder="1" applyAlignment="1">
      <alignment horizontal="left" vertical="top" wrapText="1"/>
    </xf>
    <xf numFmtId="0" fontId="4" fillId="25" borderId="13" xfId="0" applyFont="1" applyFill="1" applyBorder="1" applyAlignment="1">
      <alignment horizontal="left" vertical="top"/>
    </xf>
    <xf numFmtId="0" fontId="0" fillId="24" borderId="0" xfId="0" applyFill="1" applyAlignment="1">
      <alignment horizontal="left" vertical="top" wrapText="1"/>
    </xf>
    <xf numFmtId="0" fontId="0" fillId="28" borderId="13" xfId="0" applyFont="1" applyFill="1" applyBorder="1" applyAlignment="1">
      <alignment horizontal="left" vertical="top" wrapText="1"/>
    </xf>
    <xf numFmtId="0" fontId="0" fillId="28" borderId="13" xfId="0" quotePrefix="1" applyFont="1" applyFill="1" applyBorder="1" applyAlignment="1">
      <alignment horizontal="left" vertical="top" wrapText="1"/>
    </xf>
    <xf numFmtId="0" fontId="0" fillId="28" borderId="13" xfId="0" quotePrefix="1" applyFill="1" applyBorder="1" applyAlignment="1">
      <alignment horizontal="left" vertical="top" wrapText="1"/>
    </xf>
    <xf numFmtId="0" fontId="0" fillId="24" borderId="0" xfId="0" quotePrefix="1" applyFill="1" applyBorder="1" applyAlignment="1">
      <alignment horizontal="left" vertical="top" wrapText="1"/>
    </xf>
    <xf numFmtId="0" fontId="0" fillId="24" borderId="0" xfId="0" quotePrefix="1" applyFont="1" applyFill="1" applyBorder="1" applyAlignment="1">
      <alignment horizontal="left" vertical="top" wrapText="1"/>
    </xf>
    <xf numFmtId="0" fontId="0" fillId="32" borderId="13" xfId="0" applyFill="1" applyBorder="1" applyAlignment="1">
      <alignment horizontal="left" vertical="top" wrapText="1"/>
    </xf>
    <xf numFmtId="0" fontId="0" fillId="32" borderId="13" xfId="0" applyFont="1" applyFill="1" applyBorder="1" applyAlignment="1">
      <alignment horizontal="left" vertical="top" wrapText="1"/>
    </xf>
    <xf numFmtId="0" fontId="24" fillId="24" borderId="0" xfId="0" applyFont="1" applyFill="1" applyAlignment="1">
      <alignment horizontal="left" vertical="top" wrapText="1"/>
    </xf>
    <xf numFmtId="0" fontId="24" fillId="24" borderId="0" xfId="0" applyFont="1" applyFill="1" applyAlignment="1">
      <alignment horizontal="left" vertical="top"/>
    </xf>
    <xf numFmtId="0" fontId="0" fillId="32" borderId="13" xfId="0" applyFont="1" applyFill="1" applyBorder="1" applyAlignment="1">
      <alignment horizontal="left" vertical="top"/>
    </xf>
    <xf numFmtId="0" fontId="0" fillId="31" borderId="13" xfId="0" applyFont="1" applyFill="1" applyBorder="1" applyAlignment="1">
      <alignment horizontal="left" vertical="top"/>
    </xf>
    <xf numFmtId="0" fontId="0" fillId="31" borderId="13" xfId="0" applyFill="1" applyBorder="1" applyAlignment="1">
      <alignment horizontal="left" vertical="top" wrapText="1"/>
    </xf>
    <xf numFmtId="0" fontId="0" fillId="31" borderId="13" xfId="0" applyFont="1" applyFill="1" applyBorder="1" applyAlignment="1">
      <alignment horizontal="left" vertical="top" wrapText="1"/>
    </xf>
    <xf numFmtId="0" fontId="0" fillId="30" borderId="13" xfId="0" applyFont="1" applyFill="1" applyBorder="1" applyAlignment="1">
      <alignment horizontal="left" vertical="top"/>
    </xf>
    <xf numFmtId="0" fontId="0" fillId="24" borderId="0" xfId="0" quotePrefix="1" applyNumberFormat="1" applyFill="1" applyAlignment="1">
      <alignment horizontal="left" vertical="top" wrapText="1"/>
    </xf>
    <xf numFmtId="0" fontId="0" fillId="24" borderId="0" xfId="0" quotePrefix="1" applyNumberFormat="1" applyFont="1" applyFill="1" applyAlignment="1">
      <alignment horizontal="left" vertical="top" wrapText="1"/>
    </xf>
    <xf numFmtId="0" fontId="0" fillId="25" borderId="13" xfId="0" applyFill="1" applyBorder="1" applyAlignment="1">
      <alignment horizontal="left" vertical="top" wrapText="1"/>
    </xf>
    <xf numFmtId="0" fontId="0" fillId="25" borderId="13" xfId="0" applyFont="1" applyFill="1" applyBorder="1" applyAlignment="1">
      <alignment horizontal="left" vertical="top" wrapText="1"/>
    </xf>
    <xf numFmtId="0" fontId="0" fillId="24" borderId="13" xfId="0" applyFont="1" applyFill="1" applyBorder="1" applyAlignment="1">
      <alignment horizontal="left" vertical="top"/>
    </xf>
    <xf numFmtId="0" fontId="4" fillId="24" borderId="0" xfId="0" applyFont="1" applyFill="1" applyAlignment="1">
      <alignment horizontal="center" vertical="top"/>
    </xf>
    <xf numFmtId="0" fontId="0" fillId="24" borderId="24" xfId="0" applyFont="1" applyFill="1" applyBorder="1" applyAlignment="1">
      <alignment horizontal="left" vertical="top"/>
    </xf>
    <xf numFmtId="0" fontId="0" fillId="24" borderId="25" xfId="0" applyFont="1" applyFill="1" applyBorder="1" applyAlignment="1">
      <alignment horizontal="left" vertical="top"/>
    </xf>
    <xf numFmtId="0" fontId="4" fillId="24" borderId="24" xfId="0" applyFont="1" applyFill="1" applyBorder="1" applyAlignment="1">
      <alignment horizontal="left" vertical="top"/>
    </xf>
    <xf numFmtId="0" fontId="4" fillId="24" borderId="25" xfId="0" applyFont="1" applyFill="1" applyBorder="1" applyAlignment="1">
      <alignment horizontal="left" vertical="top"/>
    </xf>
    <xf numFmtId="0" fontId="4" fillId="0" borderId="0" xfId="0" applyFont="1" applyAlignment="1" applyProtection="1">
      <alignment horizontal="left" vertical="top"/>
    </xf>
    <xf numFmtId="178" fontId="44" fillId="27" borderId="31" xfId="0" applyNumberFormat="1" applyFont="1" applyFill="1" applyBorder="1" applyAlignment="1" applyProtection="1">
      <alignment horizontal="left" vertical="top" wrapText="1"/>
    </xf>
    <xf numFmtId="178" fontId="44" fillId="27" borderId="32" xfId="0" applyNumberFormat="1" applyFont="1" applyFill="1" applyBorder="1" applyAlignment="1" applyProtection="1">
      <alignment horizontal="left" vertical="top" wrapText="1"/>
    </xf>
    <xf numFmtId="0" fontId="0" fillId="0" borderId="24" xfId="0" applyFont="1" applyFill="1" applyBorder="1" applyAlignment="1" applyProtection="1">
      <alignment horizontal="left" vertical="top"/>
    </xf>
    <xf numFmtId="0" fontId="0" fillId="0" borderId="25" xfId="0" applyFont="1" applyFill="1" applyBorder="1" applyAlignment="1" applyProtection="1">
      <alignment horizontal="left" vertical="top"/>
    </xf>
    <xf numFmtId="0" fontId="4" fillId="0" borderId="0" xfId="0" applyFont="1" applyFill="1" applyBorder="1" applyAlignment="1" applyProtection="1">
      <alignment horizontal="left" vertical="top"/>
    </xf>
    <xf numFmtId="176" fontId="4" fillId="0" borderId="13" xfId="0" applyNumberFormat="1" applyFont="1" applyBorder="1" applyAlignment="1" applyProtection="1">
      <alignment horizontal="left" vertical="top"/>
    </xf>
    <xf numFmtId="0" fontId="4" fillId="0" borderId="24" xfId="0" applyFont="1" applyBorder="1" applyAlignment="1" applyProtection="1">
      <alignment horizontal="left" vertical="top"/>
    </xf>
    <xf numFmtId="0" fontId="4" fillId="0" borderId="25" xfId="0" applyFont="1" applyBorder="1" applyAlignment="1" applyProtection="1">
      <alignment horizontal="left" vertical="top"/>
    </xf>
    <xf numFmtId="0" fontId="31" fillId="27" borderId="24" xfId="0" applyFont="1" applyFill="1" applyBorder="1" applyAlignment="1" applyProtection="1">
      <alignment horizontal="center" vertical="top"/>
    </xf>
    <xf numFmtId="0" fontId="31" fillId="27" borderId="25" xfId="0" applyFont="1" applyFill="1" applyBorder="1" applyAlignment="1" applyProtection="1">
      <alignment horizontal="center" vertical="top"/>
    </xf>
    <xf numFmtId="0" fontId="0" fillId="0" borderId="24" xfId="0" applyFont="1" applyBorder="1" applyAlignment="1" applyProtection="1">
      <alignment horizontal="left" vertical="top"/>
    </xf>
    <xf numFmtId="0" fontId="0" fillId="0" borderId="25" xfId="0" applyFont="1" applyBorder="1" applyAlignment="1" applyProtection="1">
      <alignment horizontal="left" vertical="top"/>
    </xf>
    <xf numFmtId="0" fontId="4" fillId="0" borderId="13" xfId="0" applyFont="1" applyBorder="1" applyAlignment="1" applyProtection="1">
      <alignment horizontal="left" vertical="top"/>
    </xf>
    <xf numFmtId="179" fontId="44" fillId="27" borderId="35" xfId="0" applyNumberFormat="1" applyFont="1" applyFill="1" applyBorder="1" applyAlignment="1" applyProtection="1">
      <alignment horizontal="left" vertical="top" wrapText="1"/>
    </xf>
    <xf numFmtId="179" fontId="44" fillId="27" borderId="18" xfId="0" applyNumberFormat="1" applyFont="1" applyFill="1" applyBorder="1" applyAlignment="1" applyProtection="1">
      <alignment horizontal="left" vertical="top" wrapText="1"/>
    </xf>
    <xf numFmtId="184" fontId="47" fillId="26" borderId="20" xfId="41" applyNumberFormat="1" applyFont="1" applyFill="1" applyBorder="1" applyAlignment="1" applyProtection="1">
      <alignment horizontal="right" vertical="top" wrapText="1"/>
    </xf>
    <xf numFmtId="184" fontId="47" fillId="26" borderId="11" xfId="41" applyNumberFormat="1" applyFont="1" applyFill="1" applyBorder="1" applyAlignment="1" applyProtection="1">
      <alignment horizontal="right" vertical="top" wrapText="1"/>
    </xf>
    <xf numFmtId="184" fontId="4" fillId="26" borderId="20" xfId="41" applyNumberFormat="1" applyFont="1" applyFill="1" applyBorder="1" applyAlignment="1" applyProtection="1">
      <alignment horizontal="right" vertical="top" wrapText="1"/>
    </xf>
    <xf numFmtId="184" fontId="4" fillId="26" borderId="11" xfId="41" applyNumberFormat="1" applyFont="1" applyFill="1" applyBorder="1" applyAlignment="1" applyProtection="1">
      <alignment horizontal="right" vertical="top" wrapText="1"/>
    </xf>
    <xf numFmtId="184" fontId="4" fillId="26" borderId="36" xfId="41" applyNumberFormat="1" applyFont="1" applyFill="1" applyBorder="1" applyAlignment="1" applyProtection="1">
      <alignment horizontal="right" vertical="top" wrapText="1"/>
    </xf>
    <xf numFmtId="184" fontId="4" fillId="26" borderId="37" xfId="41" applyNumberFormat="1" applyFont="1" applyFill="1" applyBorder="1" applyAlignment="1" applyProtection="1">
      <alignment horizontal="right" vertical="top" wrapText="1"/>
    </xf>
    <xf numFmtId="0" fontId="41" fillId="35" borderId="15" xfId="0" applyFont="1" applyFill="1" applyBorder="1" applyAlignment="1">
      <alignment horizontal="center" vertical="top" wrapText="1"/>
    </xf>
    <xf numFmtId="0" fontId="41" fillId="35" borderId="16" xfId="0" applyFont="1" applyFill="1" applyBorder="1" applyAlignment="1">
      <alignment horizontal="center" vertical="top" wrapText="1"/>
    </xf>
    <xf numFmtId="0" fontId="49" fillId="29" borderId="13" xfId="0" applyFont="1" applyFill="1" applyBorder="1" applyAlignment="1" applyProtection="1">
      <alignment horizontal="left" vertical="top"/>
    </xf>
    <xf numFmtId="0" fontId="38" fillId="27" borderId="15" xfId="0" applyFont="1" applyFill="1" applyBorder="1" applyAlignment="1" applyProtection="1">
      <alignment horizontal="center" vertical="top" wrapText="1"/>
    </xf>
    <xf numFmtId="0" fontId="38" fillId="27" borderId="16" xfId="0" applyFont="1" applyFill="1" applyBorder="1" applyAlignment="1" applyProtection="1">
      <alignment horizontal="center" vertical="top" wrapText="1"/>
    </xf>
    <xf numFmtId="0" fontId="4" fillId="34" borderId="13" xfId="0" applyFont="1" applyFill="1" applyBorder="1" applyAlignment="1">
      <alignment horizontal="center" vertical="top"/>
    </xf>
  </cellXfs>
  <cellStyles count="48">
    <cellStyle name="20% - Accent1 1" xfId="1"/>
    <cellStyle name="20% - Accent2 1" xfId="2"/>
    <cellStyle name="20% - Accent3 1" xfId="3"/>
    <cellStyle name="20% - Accent4 1" xfId="4"/>
    <cellStyle name="20% - Accent5 1" xfId="5"/>
    <cellStyle name="20% - Accent6 1" xfId="6"/>
    <cellStyle name="40% - Accent1 1" xfId="7"/>
    <cellStyle name="40% - Accent2 1" xfId="8"/>
    <cellStyle name="40% - Accent3 1" xfId="9"/>
    <cellStyle name="40% - Accent4 1" xfId="10"/>
    <cellStyle name="40% - Accent5 1" xfId="11"/>
    <cellStyle name="40% - Accent6 1" xfId="12"/>
    <cellStyle name="60% - Accent1 1" xfId="13"/>
    <cellStyle name="60% - Accent2 1" xfId="14"/>
    <cellStyle name="60% - Accent3 1" xfId="15"/>
    <cellStyle name="60% - Accent4 1" xfId="16"/>
    <cellStyle name="60% - Accent5 1" xfId="17"/>
    <cellStyle name="60% - Accent6 1" xfId="18"/>
    <cellStyle name="Accent1 1" xfId="19"/>
    <cellStyle name="Accent2 1" xfId="20"/>
    <cellStyle name="Accent3 1" xfId="21"/>
    <cellStyle name="Accent4 1" xfId="22"/>
    <cellStyle name="Accent5 1" xfId="23"/>
    <cellStyle name="Accent6 1" xfId="24"/>
    <cellStyle name="Bad 1" xfId="25"/>
    <cellStyle name="Calculation 1" xfId="26"/>
    <cellStyle name="Check Cell 1" xfId="27"/>
    <cellStyle name="Explanatory Text 1" xfId="28"/>
    <cellStyle name="Good 1" xfId="29"/>
    <cellStyle name="Heading 1 1" xfId="30"/>
    <cellStyle name="Heading 2 1" xfId="31"/>
    <cellStyle name="Heading 3 1" xfId="32"/>
    <cellStyle name="Heading 4 1" xfId="33"/>
    <cellStyle name="Input 1" xfId="34"/>
    <cellStyle name="Linked Cell 1" xfId="35"/>
    <cellStyle name="Neutral 1" xfId="36"/>
    <cellStyle name="Normal" xfId="0" builtinId="0"/>
    <cellStyle name="Normal 2" xfId="37"/>
    <cellStyle name="Normal 2 1" xfId="38"/>
    <cellStyle name="Normal 3" xfId="39"/>
    <cellStyle name="Normal 4" xfId="47"/>
    <cellStyle name="Normal_G11-QA_Weekly Report_14Apr2008" xfId="40"/>
    <cellStyle name="Normal_PAWB-T4 MA_CM_PPQA_(HHW 23 Feb 06)_PAWB-CM-PPQA-DAR-Madhavi-Day7" xfId="41"/>
    <cellStyle name="Note 1" xfId="42"/>
    <cellStyle name="Output 1" xfId="43"/>
    <cellStyle name="Title 1" xfId="44"/>
    <cellStyle name="Total 1" xfId="45"/>
    <cellStyle name="Warning Text 1" xfId="46"/>
  </cellStyles>
  <dxfs count="187">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1"/>
        </patternFill>
      </fill>
    </dxf>
    <dxf>
      <fill>
        <patternFill>
          <bgColor indexed="13"/>
        </patternFill>
      </fill>
    </dxf>
    <dxf>
      <fill>
        <patternFill>
          <bgColor indexed="10"/>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indexed="10"/>
        </patternFill>
      </fill>
    </dxf>
    <dxf>
      <fill>
        <patternFill>
          <bgColor indexed="13"/>
        </patternFill>
      </fill>
    </dxf>
    <dxf>
      <fill>
        <patternFill>
          <bgColor indexed="11"/>
        </patternFill>
      </fill>
    </dxf>
    <dxf>
      <fill>
        <patternFill>
          <bgColor rgb="FF00FF99"/>
        </patternFill>
      </fill>
    </dxf>
    <dxf>
      <fill>
        <patternFill>
          <bgColor rgb="FFFFFF99"/>
        </patternFill>
      </fill>
    </dxf>
    <dxf>
      <fill>
        <patternFill>
          <bgColor rgb="FFFF5050"/>
        </patternFill>
      </fill>
    </dxf>
    <dxf>
      <fill>
        <patternFill>
          <bgColor rgb="FF00FF99"/>
        </patternFill>
      </fill>
    </dxf>
    <dxf>
      <fill>
        <patternFill>
          <bgColor rgb="FFFF5050"/>
        </patternFill>
      </fill>
    </dxf>
    <dxf>
      <fill>
        <patternFill>
          <bgColor rgb="FF00FF99"/>
        </patternFill>
      </fill>
    </dxf>
    <dxf>
      <fill>
        <patternFill>
          <bgColor rgb="FFFF5050"/>
        </patternFill>
      </fill>
    </dxf>
    <dxf>
      <fill>
        <patternFill>
          <bgColor rgb="FFFF5050"/>
        </patternFill>
      </fill>
    </dxf>
    <dxf>
      <fill>
        <patternFill>
          <bgColor rgb="FFFFFF99"/>
        </patternFill>
      </fill>
    </dxf>
    <dxf>
      <fill>
        <patternFill>
          <bgColor rgb="FF00FF99"/>
        </patternFill>
      </fill>
    </dxf>
    <dxf>
      <fill>
        <patternFill>
          <bgColor rgb="FFFFFF00"/>
        </patternFill>
      </fill>
    </dxf>
    <dxf>
      <fill>
        <patternFill>
          <bgColor rgb="FFFFC000"/>
        </patternFill>
      </fill>
    </dxf>
    <dxf>
      <fill>
        <patternFill>
          <bgColor rgb="FFFF0000"/>
        </patternFill>
      </fill>
    </dxf>
  </dxfs>
  <tableStyles count="0" defaultTableStyle="TableStyleMedium9" defaultPivotStyle="PivotStyleLight16"/>
  <colors>
    <mruColors>
      <color rgb="FFFF5050"/>
      <color rgb="FF0000FF"/>
      <color rgb="FFFFFF99"/>
      <color rgb="FF00FF99"/>
      <color rgb="FF000099"/>
      <color rgb="FF00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0181602346706529E-2"/>
          <c:y val="0.10280432473626402"/>
          <c:w val="0.90166481129503961"/>
          <c:h val="0.50000285212637463"/>
        </c:manualLayout>
      </c:layout>
      <c:lineChart>
        <c:grouping val="standard"/>
        <c:varyColors val="0"/>
        <c:ser>
          <c:idx val="1"/>
          <c:order val="0"/>
          <c:tx>
            <c:v>by week</c:v>
          </c:tx>
          <c:marker>
            <c:symbol val="none"/>
          </c:marker>
          <c:cat>
            <c:numRef>
              <c:f>'Project Summary'!$E$10:$AK$10</c:f>
              <c:numCache>
                <c:formatCode>[$-409]d\-mmm\-yy;@</c:formatCode>
                <c:ptCount val="33"/>
                <c:pt idx="0">
                  <c:v>42464</c:v>
                </c:pt>
                <c:pt idx="1">
                  <c:v>42471</c:v>
                </c:pt>
                <c:pt idx="2">
                  <c:v>42478</c:v>
                </c:pt>
                <c:pt idx="3">
                  <c:v>42485</c:v>
                </c:pt>
                <c:pt idx="4">
                  <c:v>42492</c:v>
                </c:pt>
                <c:pt idx="5">
                  <c:v>42499</c:v>
                </c:pt>
                <c:pt idx="6">
                  <c:v>42506</c:v>
                </c:pt>
                <c:pt idx="7">
                  <c:v>42513</c:v>
                </c:pt>
                <c:pt idx="8">
                  <c:v>42520</c:v>
                </c:pt>
                <c:pt idx="9">
                  <c:v>42527</c:v>
                </c:pt>
                <c:pt idx="10">
                  <c:v>42534</c:v>
                </c:pt>
                <c:pt idx="11">
                  <c:v>42541</c:v>
                </c:pt>
                <c:pt idx="12">
                  <c:v>42548</c:v>
                </c:pt>
                <c:pt idx="13">
                  <c:v>42555</c:v>
                </c:pt>
                <c:pt idx="14">
                  <c:v>42562</c:v>
                </c:pt>
                <c:pt idx="15">
                  <c:v>42569</c:v>
                </c:pt>
                <c:pt idx="16">
                  <c:v>42576</c:v>
                </c:pt>
                <c:pt idx="17">
                  <c:v>42583</c:v>
                </c:pt>
                <c:pt idx="18">
                  <c:v>42590</c:v>
                </c:pt>
                <c:pt idx="19">
                  <c:v>42597</c:v>
                </c:pt>
                <c:pt idx="20">
                  <c:v>42604</c:v>
                </c:pt>
                <c:pt idx="21">
                  <c:v>42611</c:v>
                </c:pt>
                <c:pt idx="22">
                  <c:v>42618</c:v>
                </c:pt>
                <c:pt idx="23">
                  <c:v>42625</c:v>
                </c:pt>
                <c:pt idx="24">
                  <c:v>42632</c:v>
                </c:pt>
                <c:pt idx="25">
                  <c:v>42639</c:v>
                </c:pt>
                <c:pt idx="26">
                  <c:v>42646</c:v>
                </c:pt>
                <c:pt idx="27">
                  <c:v>42653</c:v>
                </c:pt>
                <c:pt idx="28">
                  <c:v>42660</c:v>
                </c:pt>
                <c:pt idx="29">
                  <c:v>42667</c:v>
                </c:pt>
                <c:pt idx="30">
                  <c:v>42674</c:v>
                </c:pt>
              </c:numCache>
            </c:numRef>
          </c:cat>
          <c:val>
            <c:numRef>
              <c:f>'Project Summary'!$E$11:$AL$11</c:f>
              <c:numCache>
                <c:formatCode>0_ </c:formatCode>
                <c:ptCount val="3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ser>
        <c:dLbls>
          <c:showLegendKey val="0"/>
          <c:showVal val="0"/>
          <c:showCatName val="0"/>
          <c:showSerName val="0"/>
          <c:showPercent val="0"/>
          <c:showBubbleSize val="0"/>
        </c:dLbls>
        <c:marker val="1"/>
        <c:smooth val="0"/>
        <c:axId val="125584896"/>
        <c:axId val="125586432"/>
      </c:lineChart>
      <c:dateAx>
        <c:axId val="125584896"/>
        <c:scaling>
          <c:orientation val="minMax"/>
        </c:scaling>
        <c:delete val="0"/>
        <c:axPos val="b"/>
        <c:numFmt formatCode="[$-409]d\-mmm;@" sourceLinked="0"/>
        <c:majorTickMark val="out"/>
        <c:minorTickMark val="none"/>
        <c:tickLblPos val="nextTo"/>
        <c:txPr>
          <a:bodyPr rot="-5400000" vert="horz"/>
          <a:lstStyle/>
          <a:p>
            <a:pPr>
              <a:defRPr lang="en-US"/>
            </a:pPr>
            <a:endParaRPr lang="ja-JP"/>
          </a:p>
        </c:txPr>
        <c:crossAx val="125586432"/>
        <c:crosses val="autoZero"/>
        <c:auto val="1"/>
        <c:lblOffset val="100"/>
        <c:baseTimeUnit val="days"/>
        <c:majorUnit val="14"/>
        <c:minorUnit val="1"/>
      </c:dateAx>
      <c:valAx>
        <c:axId val="125586432"/>
        <c:scaling>
          <c:orientation val="minMax"/>
          <c:max val="100"/>
          <c:min val="0"/>
        </c:scaling>
        <c:delete val="0"/>
        <c:axPos val="l"/>
        <c:majorGridlines/>
        <c:numFmt formatCode="0_ " sourceLinked="1"/>
        <c:majorTickMark val="out"/>
        <c:minorTickMark val="none"/>
        <c:tickLblPos val="nextTo"/>
        <c:txPr>
          <a:bodyPr rot="0" vert="horz"/>
          <a:lstStyle/>
          <a:p>
            <a:pPr>
              <a:defRPr lang="en-US" sz="1000" b="0" i="0" u="none" strike="noStrike" baseline="0">
                <a:solidFill>
                  <a:srgbClr val="000000"/>
                </a:solidFill>
                <a:latin typeface="Calibri"/>
                <a:ea typeface="Calibri"/>
                <a:cs typeface="Calibri"/>
              </a:defRPr>
            </a:pPr>
            <a:endParaRPr lang="ja-JP"/>
          </a:p>
        </c:txPr>
        <c:crossAx val="125584896"/>
        <c:crosses val="autoZero"/>
        <c:crossBetween val="between"/>
        <c:majorUnit val="20"/>
        <c:minorUnit val="5"/>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ja-JP"/>
    </a:p>
  </c:txPr>
  <c:printSettings>
    <c:headerFooter/>
    <c:pageMargins b="0.75000000000000744" l="0.70000000000000062" r="0.70000000000000062" t="0.750000000000007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8009243326274267E-2"/>
          <c:y val="9.9056945997521725E-2"/>
          <c:w val="0.91117968404895311"/>
          <c:h val="0.51886971712986363"/>
        </c:manualLayout>
      </c:layout>
      <c:lineChart>
        <c:grouping val="standard"/>
        <c:varyColors val="0"/>
        <c:ser>
          <c:idx val="0"/>
          <c:order val="0"/>
          <c:tx>
            <c:v>an</c:v>
          </c:tx>
          <c:marker>
            <c:symbol val="none"/>
          </c:marker>
          <c:cat>
            <c:numRef>
              <c:f>'Project Summary'!$E$30:$M$30</c:f>
              <c:numCache>
                <c:formatCode>[$-409]mmm\-yy;@</c:formatCode>
                <c:ptCount val="9"/>
                <c:pt idx="0">
                  <c:v>42490</c:v>
                </c:pt>
                <c:pt idx="1">
                  <c:v>42521</c:v>
                </c:pt>
                <c:pt idx="2">
                  <c:v>42551</c:v>
                </c:pt>
                <c:pt idx="3">
                  <c:v>42582</c:v>
                </c:pt>
                <c:pt idx="4">
                  <c:v>42613</c:v>
                </c:pt>
                <c:pt idx="5">
                  <c:v>42643</c:v>
                </c:pt>
                <c:pt idx="6">
                  <c:v>42674</c:v>
                </c:pt>
                <c:pt idx="7">
                  <c:v>42704</c:v>
                </c:pt>
                <c:pt idx="8">
                  <c:v>42735</c:v>
                </c:pt>
              </c:numCache>
            </c:numRef>
          </c:cat>
          <c:val>
            <c:numRef>
              <c:f>'Project Summary'!$E$32:$M$32</c:f>
              <c:numCache>
                <c:formatCode>0_ </c:formatCode>
                <c:ptCount val="9"/>
                <c:pt idx="0">
                  <c:v>0</c:v>
                </c:pt>
                <c:pt idx="1">
                  <c:v>0</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130968576"/>
        <c:axId val="133276800"/>
      </c:lineChart>
      <c:dateAx>
        <c:axId val="130968576"/>
        <c:scaling>
          <c:orientation val="minMax"/>
        </c:scaling>
        <c:delete val="0"/>
        <c:axPos val="b"/>
        <c:numFmt formatCode="[$-409]mmm\-yy;@" sourceLinked="0"/>
        <c:majorTickMark val="out"/>
        <c:minorTickMark val="none"/>
        <c:tickLblPos val="nextTo"/>
        <c:txPr>
          <a:bodyPr rot="0" vert="horz"/>
          <a:lstStyle/>
          <a:p>
            <a:pPr>
              <a:defRPr lang="en-US" sz="1000" b="0" i="0" u="none" strike="noStrike" baseline="0">
                <a:solidFill>
                  <a:srgbClr val="000000"/>
                </a:solidFill>
                <a:latin typeface="Calibri"/>
                <a:ea typeface="Calibri"/>
                <a:cs typeface="Calibri"/>
              </a:defRPr>
            </a:pPr>
            <a:endParaRPr lang="ja-JP"/>
          </a:p>
        </c:txPr>
        <c:crossAx val="133276800"/>
        <c:crosses val="autoZero"/>
        <c:auto val="1"/>
        <c:lblOffset val="100"/>
        <c:baseTimeUnit val="months"/>
        <c:majorUnit val="1"/>
        <c:minorUnit val="1"/>
      </c:dateAx>
      <c:valAx>
        <c:axId val="133276800"/>
        <c:scaling>
          <c:orientation val="minMax"/>
          <c:max val="100"/>
          <c:min val="0"/>
        </c:scaling>
        <c:delete val="0"/>
        <c:axPos val="l"/>
        <c:majorGridlines/>
        <c:numFmt formatCode="0_ " sourceLinked="1"/>
        <c:majorTickMark val="out"/>
        <c:minorTickMark val="none"/>
        <c:tickLblPos val="nextTo"/>
        <c:txPr>
          <a:bodyPr rot="0" vert="horz"/>
          <a:lstStyle/>
          <a:p>
            <a:pPr>
              <a:defRPr lang="en-US" sz="1000" b="0" i="0" u="none" strike="noStrike" baseline="0">
                <a:solidFill>
                  <a:srgbClr val="000000"/>
                </a:solidFill>
                <a:latin typeface="Calibri"/>
                <a:ea typeface="Calibri"/>
                <a:cs typeface="Calibri"/>
              </a:defRPr>
            </a:pPr>
            <a:endParaRPr lang="ja-JP"/>
          </a:p>
        </c:txPr>
        <c:crossAx val="130968576"/>
        <c:crosses val="autoZero"/>
        <c:crossBetween val="between"/>
        <c:majorUnit val="20"/>
        <c:minorUnit val="5"/>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ja-JP"/>
    </a:p>
  </c:txPr>
  <c:printSettings>
    <c:headerFooter/>
    <c:pageMargins b="0.75000000000000744" l="0.70000000000000062" r="0.70000000000000062" t="0.75000000000000744"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98813056379819E-2"/>
          <c:y val="0.10000073242724022"/>
          <c:w val="0.91543026706231456"/>
          <c:h val="0.4800035156507525"/>
        </c:manualLayout>
      </c:layout>
      <c:lineChart>
        <c:grouping val="standard"/>
        <c:varyColors val="0"/>
        <c:ser>
          <c:idx val="0"/>
          <c:order val="0"/>
          <c:tx>
            <c:v>SM</c:v>
          </c:tx>
          <c:marker>
            <c:symbol val="none"/>
          </c:marker>
          <c:cat>
            <c:numRef>
              <c:f>'Project Summary'!$E$30:$M$30</c:f>
              <c:numCache>
                <c:formatCode>[$-409]mmm\-yy;@</c:formatCode>
                <c:ptCount val="9"/>
                <c:pt idx="0">
                  <c:v>42490</c:v>
                </c:pt>
                <c:pt idx="1">
                  <c:v>42521</c:v>
                </c:pt>
                <c:pt idx="2">
                  <c:v>42551</c:v>
                </c:pt>
                <c:pt idx="3">
                  <c:v>42582</c:v>
                </c:pt>
                <c:pt idx="4">
                  <c:v>42613</c:v>
                </c:pt>
                <c:pt idx="5">
                  <c:v>42643</c:v>
                </c:pt>
                <c:pt idx="6">
                  <c:v>42674</c:v>
                </c:pt>
                <c:pt idx="7">
                  <c:v>42704</c:v>
                </c:pt>
                <c:pt idx="8">
                  <c:v>42735</c:v>
                </c:pt>
              </c:numCache>
            </c:numRef>
          </c:cat>
          <c:val>
            <c:numRef>
              <c:f>'Project Summary'!$E$44:$M$44</c:f>
              <c:numCache>
                <c:formatCode>0_ </c:formatCode>
                <c:ptCount val="9"/>
                <c:pt idx="0">
                  <c:v>0</c:v>
                </c:pt>
                <c:pt idx="1">
                  <c:v>0</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147656704"/>
        <c:axId val="147658240"/>
      </c:lineChart>
      <c:dateAx>
        <c:axId val="147656704"/>
        <c:scaling>
          <c:orientation val="minMax"/>
        </c:scaling>
        <c:delete val="0"/>
        <c:axPos val="b"/>
        <c:numFmt formatCode="[$-409]mmm\-yy;@" sourceLinked="0"/>
        <c:majorTickMark val="out"/>
        <c:minorTickMark val="none"/>
        <c:tickLblPos val="nextTo"/>
        <c:txPr>
          <a:bodyPr rot="0" vert="horz"/>
          <a:lstStyle/>
          <a:p>
            <a:pPr>
              <a:defRPr lang="en-US" sz="1000" b="0" i="0" u="none" strike="noStrike" baseline="0">
                <a:solidFill>
                  <a:srgbClr val="000000"/>
                </a:solidFill>
                <a:latin typeface="Calibri"/>
                <a:ea typeface="Calibri"/>
                <a:cs typeface="Calibri"/>
              </a:defRPr>
            </a:pPr>
            <a:endParaRPr lang="ja-JP"/>
          </a:p>
        </c:txPr>
        <c:crossAx val="147658240"/>
        <c:crosses val="autoZero"/>
        <c:auto val="1"/>
        <c:lblOffset val="100"/>
        <c:baseTimeUnit val="months"/>
        <c:majorUnit val="1"/>
        <c:minorUnit val="1"/>
      </c:dateAx>
      <c:valAx>
        <c:axId val="147658240"/>
        <c:scaling>
          <c:orientation val="minMax"/>
          <c:max val="100"/>
          <c:min val="0"/>
        </c:scaling>
        <c:delete val="0"/>
        <c:axPos val="l"/>
        <c:majorGridlines/>
        <c:numFmt formatCode="0_ " sourceLinked="1"/>
        <c:majorTickMark val="out"/>
        <c:minorTickMark val="none"/>
        <c:tickLblPos val="nextTo"/>
        <c:txPr>
          <a:bodyPr rot="0" vert="horz"/>
          <a:lstStyle/>
          <a:p>
            <a:pPr>
              <a:defRPr lang="en-US" sz="1000" b="0" i="0" u="none" strike="noStrike" baseline="0">
                <a:solidFill>
                  <a:srgbClr val="000000"/>
                </a:solidFill>
                <a:latin typeface="Calibri"/>
                <a:ea typeface="Calibri"/>
                <a:cs typeface="Calibri"/>
              </a:defRPr>
            </a:pPr>
            <a:endParaRPr lang="ja-JP"/>
          </a:p>
        </c:txPr>
        <c:crossAx val="147656704"/>
        <c:crosses val="autoZero"/>
        <c:crossBetween val="between"/>
        <c:majorUnit val="20"/>
        <c:minorUnit val="5"/>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ja-JP"/>
    </a:p>
  </c:txPr>
  <c:printSettings>
    <c:headerFooter/>
    <c:pageMargins b="1" l="0.75000000000000633" r="0.75000000000000633"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5729185356284288E-2"/>
          <c:y val="0.10101059920789535"/>
          <c:w val="0.90574536914020998"/>
          <c:h val="0.47474981627710833"/>
        </c:manualLayout>
      </c:layout>
      <c:lineChart>
        <c:grouping val="standard"/>
        <c:varyColors val="0"/>
        <c:ser>
          <c:idx val="0"/>
          <c:order val="0"/>
          <c:tx>
            <c:v>PM</c:v>
          </c:tx>
          <c:marker>
            <c:symbol val="none"/>
          </c:marker>
          <c:cat>
            <c:numRef>
              <c:f>'Project Summary'!$E$30:$M$30</c:f>
              <c:numCache>
                <c:formatCode>[$-409]mmm\-yy;@</c:formatCode>
                <c:ptCount val="9"/>
                <c:pt idx="0">
                  <c:v>42490</c:v>
                </c:pt>
                <c:pt idx="1">
                  <c:v>42521</c:v>
                </c:pt>
                <c:pt idx="2">
                  <c:v>42551</c:v>
                </c:pt>
                <c:pt idx="3">
                  <c:v>42582</c:v>
                </c:pt>
                <c:pt idx="4">
                  <c:v>42613</c:v>
                </c:pt>
                <c:pt idx="5">
                  <c:v>42643</c:v>
                </c:pt>
                <c:pt idx="6">
                  <c:v>42674</c:v>
                </c:pt>
                <c:pt idx="7">
                  <c:v>42704</c:v>
                </c:pt>
                <c:pt idx="8">
                  <c:v>42735</c:v>
                </c:pt>
              </c:numCache>
            </c:numRef>
          </c:cat>
          <c:val>
            <c:numRef>
              <c:f>'Project Summary'!$E$38:$M$38</c:f>
              <c:numCache>
                <c:formatCode>0_ </c:formatCode>
                <c:ptCount val="9"/>
                <c:pt idx="0">
                  <c:v>0</c:v>
                </c:pt>
                <c:pt idx="1">
                  <c:v>0</c:v>
                </c:pt>
                <c:pt idx="2">
                  <c:v>0</c:v>
                </c:pt>
                <c:pt idx="3">
                  <c:v>0</c:v>
                </c:pt>
                <c:pt idx="4">
                  <c:v>0</c:v>
                </c:pt>
                <c:pt idx="5">
                  <c:v>0</c:v>
                </c:pt>
                <c:pt idx="6">
                  <c:v>0</c:v>
                </c:pt>
                <c:pt idx="7">
                  <c:v>0</c:v>
                </c:pt>
                <c:pt idx="8">
                  <c:v>0</c:v>
                </c:pt>
              </c:numCache>
            </c:numRef>
          </c:val>
          <c:smooth val="0"/>
        </c:ser>
        <c:dLbls>
          <c:showLegendKey val="0"/>
          <c:showVal val="0"/>
          <c:showCatName val="0"/>
          <c:showSerName val="0"/>
          <c:showPercent val="0"/>
          <c:showBubbleSize val="0"/>
        </c:dLbls>
        <c:marker val="1"/>
        <c:smooth val="0"/>
        <c:axId val="153114112"/>
        <c:axId val="153116032"/>
      </c:lineChart>
      <c:dateAx>
        <c:axId val="153114112"/>
        <c:scaling>
          <c:orientation val="minMax"/>
        </c:scaling>
        <c:delete val="0"/>
        <c:axPos val="b"/>
        <c:numFmt formatCode="[$-409]mmm\-yy;@" sourceLinked="0"/>
        <c:majorTickMark val="out"/>
        <c:minorTickMark val="none"/>
        <c:tickLblPos val="nextTo"/>
        <c:txPr>
          <a:bodyPr rot="0" vert="horz"/>
          <a:lstStyle/>
          <a:p>
            <a:pPr>
              <a:defRPr lang="en-US" sz="1000" b="0" i="0" u="none" strike="noStrike" baseline="0">
                <a:solidFill>
                  <a:srgbClr val="000000"/>
                </a:solidFill>
                <a:latin typeface="Calibri"/>
                <a:ea typeface="Calibri"/>
                <a:cs typeface="Calibri"/>
              </a:defRPr>
            </a:pPr>
            <a:endParaRPr lang="ja-JP"/>
          </a:p>
        </c:txPr>
        <c:crossAx val="153116032"/>
        <c:crosses val="autoZero"/>
        <c:auto val="1"/>
        <c:lblOffset val="100"/>
        <c:baseTimeUnit val="months"/>
        <c:majorUnit val="1"/>
        <c:minorUnit val="1"/>
      </c:dateAx>
      <c:valAx>
        <c:axId val="153116032"/>
        <c:scaling>
          <c:orientation val="minMax"/>
          <c:max val="100"/>
          <c:min val="0"/>
        </c:scaling>
        <c:delete val="0"/>
        <c:axPos val="l"/>
        <c:majorGridlines/>
        <c:numFmt formatCode="0_ " sourceLinked="1"/>
        <c:majorTickMark val="out"/>
        <c:minorTickMark val="none"/>
        <c:tickLblPos val="nextTo"/>
        <c:txPr>
          <a:bodyPr rot="0" vert="horz"/>
          <a:lstStyle/>
          <a:p>
            <a:pPr>
              <a:defRPr lang="en-US" sz="1000" b="0" i="0" u="none" strike="noStrike" baseline="0">
                <a:solidFill>
                  <a:srgbClr val="000000"/>
                </a:solidFill>
                <a:latin typeface="Calibri"/>
                <a:ea typeface="Calibri"/>
                <a:cs typeface="Calibri"/>
              </a:defRPr>
            </a:pPr>
            <a:endParaRPr lang="ja-JP"/>
          </a:p>
        </c:txPr>
        <c:crossAx val="153114112"/>
        <c:crosses val="autoZero"/>
        <c:crossBetween val="between"/>
        <c:majorUnit val="20"/>
        <c:minorUnit val="5"/>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ja-JP"/>
    </a:p>
  </c:txPr>
  <c:printSettings>
    <c:headerFooter/>
    <c:pageMargins b="1" l="0.75000000000000633" r="0.75000000000000633" t="1" header="0.5" footer="0.5"/>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6</xdr:row>
          <xdr:rowOff>152400</xdr:rowOff>
        </xdr:from>
        <xdr:to>
          <xdr:col>14</xdr:col>
          <xdr:colOff>600075</xdr:colOff>
          <xdr:row>36</xdr:row>
          <xdr:rowOff>942975</xdr:rowOff>
        </xdr:to>
        <xdr:sp macro="" textlink="">
          <xdr:nvSpPr>
            <xdr:cNvPr id="749579" name="Object 11" hidden="1">
              <a:extLst>
                <a:ext uri="{63B3BB69-23CF-44E3-9099-C40C66FF867C}">
                  <a14:compatExt spid="_x0000_s74957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198120</xdr:colOff>
      <xdr:row>51</xdr:row>
      <xdr:rowOff>121920</xdr:rowOff>
    </xdr:from>
    <xdr:to>
      <xdr:col>6</xdr:col>
      <xdr:colOff>212912</xdr:colOff>
      <xdr:row>61</xdr:row>
      <xdr:rowOff>89647</xdr:rowOff>
    </xdr:to>
    <xdr:graphicFrame macro="">
      <xdr:nvGraphicFramePr>
        <xdr:cNvPr id="723256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624840</xdr:colOff>
      <xdr:row>51</xdr:row>
      <xdr:rowOff>160020</xdr:rowOff>
    </xdr:from>
    <xdr:to>
      <xdr:col>12</xdr:col>
      <xdr:colOff>586740</xdr:colOff>
      <xdr:row>61</xdr:row>
      <xdr:rowOff>99060</xdr:rowOff>
    </xdr:to>
    <xdr:graphicFrame macro="">
      <xdr:nvGraphicFramePr>
        <xdr:cNvPr id="723256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167640</xdr:colOff>
      <xdr:row>65</xdr:row>
      <xdr:rowOff>160020</xdr:rowOff>
    </xdr:from>
    <xdr:to>
      <xdr:col>5</xdr:col>
      <xdr:colOff>807720</xdr:colOff>
      <xdr:row>73</xdr:row>
      <xdr:rowOff>121920</xdr:rowOff>
    </xdr:to>
    <xdr:graphicFrame macro="">
      <xdr:nvGraphicFramePr>
        <xdr:cNvPr id="7232567" name="Chart 2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609600</xdr:colOff>
      <xdr:row>65</xdr:row>
      <xdr:rowOff>160020</xdr:rowOff>
    </xdr:from>
    <xdr:to>
      <xdr:col>12</xdr:col>
      <xdr:colOff>769620</xdr:colOff>
      <xdr:row>73</xdr:row>
      <xdr:rowOff>106680</xdr:rowOff>
    </xdr:to>
    <xdr:graphicFrame macro="">
      <xdr:nvGraphicFramePr>
        <xdr:cNvPr id="7232568" name="Chart 27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oleObject" Target="../embeddings/Microsoft_Visio_2003-2010_Drawing111111111.vsd"/></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137"/>
  <sheetViews>
    <sheetView showGridLines="0" zoomScaleNormal="100" zoomScaleSheetLayoutView="100" workbookViewId="0"/>
  </sheetViews>
  <sheetFormatPr defaultColWidth="9.140625" defaultRowHeight="12.75" x14ac:dyDescent="0.2"/>
  <cols>
    <col min="1" max="1" width="4.28515625" style="32" customWidth="1"/>
    <col min="2" max="2" width="9.28515625" style="1" customWidth="1"/>
    <col min="3" max="3" width="10.28515625" style="1" customWidth="1"/>
    <col min="4" max="4" width="10.140625" style="1" customWidth="1"/>
    <col min="5" max="5" width="10.28515625" style="1" customWidth="1"/>
    <col min="6" max="15" width="9.5703125" style="32" customWidth="1"/>
    <col min="16" max="16384" width="9.140625" style="32"/>
  </cols>
  <sheetData>
    <row r="1" spans="1:15" s="41" customFormat="1" ht="20.25" x14ac:dyDescent="0.2">
      <c r="A1" s="31" t="s">
        <v>265</v>
      </c>
      <c r="B1" s="40"/>
      <c r="C1" s="40"/>
      <c r="D1" s="40"/>
      <c r="E1" s="40"/>
    </row>
    <row r="2" spans="1:15" x14ac:dyDescent="0.2">
      <c r="A2" s="419" t="s">
        <v>296</v>
      </c>
      <c r="B2" s="419"/>
      <c r="C2" s="419"/>
      <c r="D2" s="419"/>
      <c r="E2" s="419"/>
      <c r="F2" s="419"/>
      <c r="G2" s="419"/>
      <c r="H2" s="419"/>
      <c r="I2" s="419"/>
      <c r="J2" s="419"/>
      <c r="K2" s="419"/>
      <c r="L2" s="419"/>
      <c r="M2" s="419"/>
    </row>
    <row r="3" spans="1:15" x14ac:dyDescent="0.2">
      <c r="B3" s="421" t="s">
        <v>445</v>
      </c>
      <c r="C3" s="422"/>
      <c r="D3" s="422"/>
      <c r="E3" s="422"/>
      <c r="F3" s="422"/>
      <c r="G3" s="422"/>
      <c r="H3" s="422"/>
      <c r="I3" s="422"/>
      <c r="J3" s="422"/>
      <c r="K3" s="422"/>
      <c r="L3" s="422"/>
      <c r="M3" s="422"/>
      <c r="N3" s="422"/>
      <c r="O3" s="422"/>
    </row>
    <row r="4" spans="1:15" x14ac:dyDescent="0.2">
      <c r="B4" s="421" t="s">
        <v>399</v>
      </c>
      <c r="C4" s="422"/>
      <c r="D4" s="422"/>
      <c r="E4" s="422"/>
      <c r="F4" s="422"/>
      <c r="G4" s="422"/>
      <c r="H4" s="422"/>
      <c r="I4" s="422"/>
      <c r="J4" s="422"/>
      <c r="K4" s="422"/>
      <c r="L4" s="422"/>
      <c r="M4" s="422"/>
      <c r="N4" s="422"/>
      <c r="O4" s="422"/>
    </row>
    <row r="5" spans="1:15" x14ac:dyDescent="0.2">
      <c r="B5" s="421" t="s">
        <v>400</v>
      </c>
      <c r="C5" s="422"/>
      <c r="D5" s="422"/>
      <c r="E5" s="422"/>
      <c r="F5" s="422"/>
      <c r="G5" s="422"/>
      <c r="H5" s="422"/>
      <c r="I5" s="422"/>
      <c r="J5" s="422"/>
      <c r="K5" s="422"/>
      <c r="L5" s="422"/>
      <c r="M5" s="422"/>
      <c r="N5" s="422"/>
      <c r="O5" s="422"/>
    </row>
    <row r="6" spans="1:15" x14ac:dyDescent="0.2">
      <c r="A6" s="419" t="s">
        <v>387</v>
      </c>
      <c r="B6" s="419"/>
      <c r="C6" s="419"/>
      <c r="D6" s="419"/>
      <c r="E6" s="419"/>
      <c r="F6" s="419"/>
      <c r="G6" s="419"/>
      <c r="H6" s="419"/>
      <c r="I6" s="419"/>
      <c r="J6" s="419"/>
      <c r="K6" s="419"/>
      <c r="L6" s="419"/>
      <c r="M6" s="419"/>
    </row>
    <row r="37" spans="1:15" ht="79.5" customHeight="1" x14ac:dyDescent="0.2"/>
    <row r="38" spans="1:15" ht="13.5" customHeight="1" x14ac:dyDescent="0.2">
      <c r="A38" s="419" t="s">
        <v>398</v>
      </c>
      <c r="B38" s="419"/>
      <c r="C38" s="419"/>
      <c r="D38" s="419"/>
      <c r="E38" s="419"/>
      <c r="F38" s="419"/>
      <c r="G38" s="419"/>
      <c r="H38" s="419"/>
      <c r="I38" s="419"/>
      <c r="J38" s="419"/>
      <c r="K38" s="419"/>
      <c r="L38" s="419"/>
      <c r="M38" s="419"/>
    </row>
    <row r="39" spans="1:15" x14ac:dyDescent="0.2">
      <c r="B39" s="42" t="s">
        <v>388</v>
      </c>
      <c r="C39" s="33" t="s">
        <v>389</v>
      </c>
      <c r="D39" s="42"/>
      <c r="E39" s="42"/>
      <c r="F39" s="42"/>
      <c r="G39" s="42"/>
      <c r="H39" s="42"/>
      <c r="I39" s="42"/>
      <c r="J39" s="42"/>
      <c r="K39" s="42"/>
      <c r="L39" s="42"/>
      <c r="M39" s="42"/>
    </row>
    <row r="40" spans="1:15" ht="28.5" customHeight="1" x14ac:dyDescent="0.2">
      <c r="B40" s="43"/>
      <c r="C40" s="414" t="s">
        <v>731</v>
      </c>
      <c r="D40" s="415"/>
      <c r="E40" s="415"/>
      <c r="F40" s="415"/>
      <c r="G40" s="415"/>
      <c r="H40" s="415"/>
      <c r="I40" s="415"/>
      <c r="J40" s="415"/>
      <c r="K40" s="415"/>
      <c r="L40" s="415"/>
      <c r="M40" s="415"/>
      <c r="N40" s="415"/>
      <c r="O40" s="415"/>
    </row>
    <row r="41" spans="1:15" x14ac:dyDescent="0.2">
      <c r="B41" s="43"/>
      <c r="C41" s="421" t="s">
        <v>446</v>
      </c>
      <c r="D41" s="422"/>
      <c r="E41" s="422"/>
      <c r="F41" s="422"/>
      <c r="G41" s="422"/>
      <c r="H41" s="422"/>
      <c r="I41" s="422"/>
      <c r="J41" s="422"/>
      <c r="K41" s="422"/>
      <c r="L41" s="422"/>
      <c r="M41" s="422"/>
      <c r="N41" s="422"/>
      <c r="O41" s="422"/>
    </row>
    <row r="42" spans="1:15" x14ac:dyDescent="0.2">
      <c r="B42" s="42" t="s">
        <v>447</v>
      </c>
      <c r="C42" s="33" t="s">
        <v>448</v>
      </c>
      <c r="D42" s="42"/>
      <c r="E42" s="42"/>
      <c r="F42" s="42"/>
      <c r="G42" s="42"/>
      <c r="H42" s="42"/>
      <c r="I42" s="42"/>
      <c r="J42" s="42"/>
      <c r="K42" s="42"/>
      <c r="L42" s="42"/>
      <c r="M42" s="42"/>
    </row>
    <row r="43" spans="1:15" x14ac:dyDescent="0.2">
      <c r="B43" s="44"/>
      <c r="C43" s="433" t="s">
        <v>645</v>
      </c>
      <c r="D43" s="422"/>
      <c r="E43" s="422"/>
      <c r="F43" s="422"/>
      <c r="G43" s="422"/>
      <c r="H43" s="422"/>
      <c r="I43" s="422"/>
      <c r="J43" s="422"/>
      <c r="K43" s="422"/>
      <c r="L43" s="422"/>
      <c r="M43" s="422"/>
      <c r="N43" s="422"/>
      <c r="O43" s="422"/>
    </row>
    <row r="44" spans="1:15" x14ac:dyDescent="0.2">
      <c r="B44" s="1" t="s">
        <v>390</v>
      </c>
      <c r="C44" s="433" t="s">
        <v>626</v>
      </c>
      <c r="D44" s="422"/>
      <c r="E44" s="422"/>
      <c r="F44" s="422"/>
      <c r="G44" s="422"/>
      <c r="H44" s="422"/>
      <c r="I44" s="422"/>
      <c r="J44" s="422"/>
      <c r="K44" s="422"/>
      <c r="L44" s="422"/>
      <c r="M44" s="422"/>
      <c r="N44" s="422"/>
      <c r="O44" s="422"/>
    </row>
    <row r="45" spans="1:15" ht="27" customHeight="1" x14ac:dyDescent="0.2">
      <c r="B45" s="43"/>
      <c r="C45" s="414" t="s">
        <v>627</v>
      </c>
      <c r="D45" s="415"/>
      <c r="E45" s="415"/>
      <c r="F45" s="415"/>
      <c r="G45" s="415"/>
      <c r="H45" s="415"/>
      <c r="I45" s="415"/>
      <c r="J45" s="415"/>
      <c r="K45" s="415"/>
      <c r="L45" s="415"/>
      <c r="M45" s="415"/>
      <c r="N45" s="415"/>
      <c r="O45" s="415"/>
    </row>
    <row r="46" spans="1:15" ht="26.25" customHeight="1" x14ac:dyDescent="0.2">
      <c r="B46" s="43"/>
      <c r="C46" s="414" t="s">
        <v>628</v>
      </c>
      <c r="D46" s="415"/>
      <c r="E46" s="415"/>
      <c r="F46" s="415"/>
      <c r="G46" s="415"/>
      <c r="H46" s="415"/>
      <c r="I46" s="415"/>
      <c r="J46" s="415"/>
      <c r="K46" s="415"/>
      <c r="L46" s="415"/>
      <c r="M46" s="415"/>
      <c r="N46" s="415"/>
      <c r="O46" s="415"/>
    </row>
    <row r="47" spans="1:15" x14ac:dyDescent="0.2">
      <c r="B47" s="42"/>
      <c r="C47" s="34" t="s">
        <v>727</v>
      </c>
      <c r="D47" s="32"/>
      <c r="E47" s="32"/>
      <c r="I47" s="35"/>
      <c r="J47" s="35"/>
      <c r="K47" s="35"/>
      <c r="L47" s="35"/>
      <c r="M47" s="35"/>
      <c r="N47" s="35"/>
      <c r="O47" s="35"/>
    </row>
    <row r="48" spans="1:15" x14ac:dyDescent="0.2">
      <c r="B48" s="43"/>
      <c r="C48" s="422" t="s">
        <v>629</v>
      </c>
      <c r="D48" s="422"/>
      <c r="E48" s="422"/>
      <c r="F48" s="422"/>
      <c r="G48" s="422"/>
      <c r="H48" s="422"/>
      <c r="I48" s="422"/>
      <c r="J48" s="422"/>
      <c r="K48" s="422"/>
      <c r="L48" s="422"/>
      <c r="M48" s="422"/>
      <c r="N48" s="422"/>
      <c r="O48" s="422"/>
    </row>
    <row r="49" spans="2:15" ht="25.5" customHeight="1" x14ac:dyDescent="0.2">
      <c r="B49" s="43"/>
      <c r="C49" s="414" t="s">
        <v>630</v>
      </c>
      <c r="D49" s="415"/>
      <c r="E49" s="415"/>
      <c r="F49" s="415"/>
      <c r="G49" s="415"/>
      <c r="H49" s="415"/>
      <c r="I49" s="415"/>
      <c r="J49" s="415"/>
      <c r="K49" s="415"/>
      <c r="L49" s="415"/>
      <c r="M49" s="415"/>
      <c r="N49" s="415"/>
      <c r="O49" s="415"/>
    </row>
    <row r="50" spans="2:15" x14ac:dyDescent="0.2">
      <c r="B50" s="43"/>
      <c r="C50" s="421" t="s">
        <v>631</v>
      </c>
      <c r="D50" s="422"/>
      <c r="E50" s="422"/>
      <c r="F50" s="422"/>
      <c r="G50" s="422"/>
      <c r="H50" s="422"/>
      <c r="I50" s="422"/>
      <c r="J50" s="422"/>
      <c r="K50" s="422"/>
      <c r="L50" s="422"/>
      <c r="M50" s="422"/>
      <c r="N50" s="422"/>
      <c r="O50" s="422"/>
    </row>
    <row r="51" spans="2:15" ht="26.25" customHeight="1" x14ac:dyDescent="0.2">
      <c r="B51" s="43"/>
      <c r="C51" s="414" t="s">
        <v>632</v>
      </c>
      <c r="D51" s="415"/>
      <c r="E51" s="415"/>
      <c r="F51" s="415"/>
      <c r="G51" s="415"/>
      <c r="H51" s="415"/>
      <c r="I51" s="415"/>
      <c r="J51" s="415"/>
      <c r="K51" s="415"/>
      <c r="L51" s="415"/>
      <c r="M51" s="415"/>
      <c r="N51" s="415"/>
      <c r="O51" s="415"/>
    </row>
    <row r="52" spans="2:15" x14ac:dyDescent="0.2">
      <c r="B52" s="43"/>
      <c r="C52" s="421" t="s">
        <v>633</v>
      </c>
      <c r="D52" s="422"/>
      <c r="E52" s="422"/>
      <c r="F52" s="422"/>
      <c r="G52" s="422"/>
      <c r="H52" s="422"/>
      <c r="I52" s="422"/>
      <c r="J52" s="422"/>
      <c r="K52" s="422"/>
      <c r="L52" s="422"/>
      <c r="M52" s="422"/>
      <c r="N52" s="422"/>
      <c r="O52" s="422"/>
    </row>
    <row r="53" spans="2:15" x14ac:dyDescent="0.2">
      <c r="B53" s="1" t="s">
        <v>391</v>
      </c>
      <c r="C53" s="423" t="s">
        <v>634</v>
      </c>
      <c r="D53" s="422"/>
      <c r="E53" s="422"/>
      <c r="F53" s="422"/>
      <c r="G53" s="422"/>
      <c r="H53" s="422"/>
      <c r="I53" s="422"/>
      <c r="J53" s="422"/>
      <c r="K53" s="422"/>
      <c r="L53" s="422"/>
      <c r="M53" s="422"/>
      <c r="N53" s="422"/>
      <c r="O53" s="422"/>
    </row>
    <row r="54" spans="2:15" x14ac:dyDescent="0.2">
      <c r="B54" s="43"/>
      <c r="C54" s="433" t="s">
        <v>968</v>
      </c>
      <c r="D54" s="422"/>
      <c r="E54" s="422"/>
      <c r="F54" s="422"/>
      <c r="G54" s="422"/>
      <c r="H54" s="422"/>
      <c r="I54" s="422"/>
      <c r="J54" s="422"/>
      <c r="K54" s="422"/>
      <c r="L54" s="422"/>
      <c r="M54" s="422"/>
      <c r="N54" s="422"/>
      <c r="O54" s="422"/>
    </row>
    <row r="55" spans="2:15" x14ac:dyDescent="0.2">
      <c r="B55" s="42"/>
      <c r="C55" s="1" t="s">
        <v>635</v>
      </c>
      <c r="D55" s="45" t="s">
        <v>636</v>
      </c>
      <c r="E55" s="32"/>
      <c r="I55" s="35"/>
      <c r="J55" s="35"/>
      <c r="K55" s="35"/>
      <c r="L55" s="35"/>
      <c r="M55" s="35"/>
      <c r="N55" s="35"/>
      <c r="O55" s="35"/>
    </row>
    <row r="56" spans="2:15" x14ac:dyDescent="0.2">
      <c r="B56" s="42"/>
      <c r="C56" s="1" t="s">
        <v>637</v>
      </c>
      <c r="D56" s="36" t="s">
        <v>638</v>
      </c>
      <c r="E56" s="32"/>
      <c r="I56" s="35"/>
      <c r="J56" s="35"/>
      <c r="K56" s="35"/>
      <c r="L56" s="35"/>
      <c r="M56" s="35"/>
      <c r="N56" s="35"/>
      <c r="O56" s="35"/>
    </row>
    <row r="57" spans="2:15" x14ac:dyDescent="0.2">
      <c r="B57" s="42"/>
      <c r="C57" s="1" t="s">
        <v>639</v>
      </c>
      <c r="D57" s="36" t="s">
        <v>640</v>
      </c>
      <c r="E57" s="32"/>
      <c r="I57" s="35"/>
      <c r="J57" s="35"/>
      <c r="K57" s="35"/>
      <c r="L57" s="35"/>
      <c r="M57" s="35"/>
      <c r="N57" s="35"/>
      <c r="O57" s="35"/>
    </row>
    <row r="58" spans="2:15" x14ac:dyDescent="0.2">
      <c r="B58" s="42"/>
      <c r="C58" s="1" t="s">
        <v>641</v>
      </c>
      <c r="D58" s="36" t="s">
        <v>642</v>
      </c>
      <c r="E58" s="32"/>
      <c r="I58" s="35"/>
      <c r="J58" s="35"/>
      <c r="K58" s="35"/>
      <c r="L58" s="35"/>
      <c r="M58" s="35"/>
      <c r="N58" s="35"/>
      <c r="O58" s="35"/>
    </row>
    <row r="59" spans="2:15" x14ac:dyDescent="0.2">
      <c r="B59" s="42"/>
      <c r="C59" s="1" t="s">
        <v>643</v>
      </c>
      <c r="D59" s="36" t="s">
        <v>644</v>
      </c>
      <c r="E59" s="32"/>
      <c r="I59" s="35"/>
      <c r="J59" s="35"/>
      <c r="K59" s="35"/>
      <c r="L59" s="35"/>
      <c r="M59" s="35"/>
      <c r="N59" s="35"/>
      <c r="O59" s="35"/>
    </row>
    <row r="60" spans="2:15" x14ac:dyDescent="0.2">
      <c r="B60" s="42"/>
      <c r="C60" s="423" t="s">
        <v>690</v>
      </c>
      <c r="D60" s="422"/>
      <c r="E60" s="422"/>
      <c r="F60" s="422"/>
      <c r="G60" s="422"/>
      <c r="H60" s="422"/>
      <c r="I60" s="422"/>
      <c r="J60" s="35"/>
      <c r="K60" s="35"/>
      <c r="L60" s="35"/>
      <c r="M60" s="35"/>
      <c r="N60" s="35"/>
      <c r="O60" s="35"/>
    </row>
    <row r="61" spans="2:15" x14ac:dyDescent="0.2">
      <c r="B61" s="42"/>
      <c r="C61" s="34" t="s">
        <v>727</v>
      </c>
      <c r="D61" s="32"/>
      <c r="E61" s="32"/>
      <c r="I61" s="35"/>
      <c r="J61" s="35"/>
      <c r="K61" s="35"/>
      <c r="L61" s="35"/>
      <c r="M61" s="35"/>
      <c r="N61" s="35"/>
      <c r="O61" s="35"/>
    </row>
    <row r="62" spans="2:15" ht="25.5" customHeight="1" x14ac:dyDescent="0.2">
      <c r="B62" s="43"/>
      <c r="C62" s="437" t="s">
        <v>722</v>
      </c>
      <c r="D62" s="415"/>
      <c r="E62" s="415"/>
      <c r="F62" s="415"/>
      <c r="G62" s="415"/>
      <c r="H62" s="415"/>
      <c r="I62" s="415"/>
      <c r="J62" s="415"/>
      <c r="K62" s="415"/>
      <c r="L62" s="415"/>
      <c r="M62" s="415"/>
      <c r="N62" s="415"/>
      <c r="O62" s="415"/>
    </row>
    <row r="63" spans="2:15" x14ac:dyDescent="0.2">
      <c r="B63" s="37"/>
      <c r="C63" s="433" t="s">
        <v>723</v>
      </c>
      <c r="D63" s="422"/>
      <c r="E63" s="422"/>
      <c r="F63" s="422"/>
      <c r="G63" s="422"/>
      <c r="H63" s="422"/>
      <c r="I63" s="422"/>
      <c r="J63" s="422"/>
      <c r="K63" s="422"/>
      <c r="L63" s="422"/>
      <c r="M63" s="422"/>
      <c r="N63" s="422"/>
      <c r="O63" s="422"/>
    </row>
    <row r="64" spans="2:15" ht="27" customHeight="1" x14ac:dyDescent="0.2">
      <c r="B64" s="44"/>
      <c r="C64" s="414" t="s">
        <v>735</v>
      </c>
      <c r="D64" s="420"/>
      <c r="E64" s="420"/>
      <c r="F64" s="420"/>
      <c r="G64" s="420"/>
      <c r="H64" s="420"/>
      <c r="I64" s="420"/>
      <c r="J64" s="420"/>
      <c r="K64" s="420"/>
      <c r="L64" s="420"/>
      <c r="M64" s="420"/>
      <c r="N64" s="420"/>
      <c r="O64" s="420"/>
    </row>
    <row r="65" spans="2:15" ht="39.75" customHeight="1" x14ac:dyDescent="0.2">
      <c r="B65" s="44"/>
      <c r="C65" s="452" t="s">
        <v>724</v>
      </c>
      <c r="D65" s="453"/>
      <c r="E65" s="453"/>
      <c r="F65" s="453"/>
      <c r="G65" s="453"/>
      <c r="H65" s="453"/>
      <c r="I65" s="453"/>
      <c r="J65" s="453"/>
      <c r="K65" s="453"/>
      <c r="L65" s="453"/>
      <c r="M65" s="453"/>
      <c r="N65" s="453"/>
      <c r="O65" s="453"/>
    </row>
    <row r="66" spans="2:15" ht="52.5" customHeight="1" x14ac:dyDescent="0.2">
      <c r="B66" s="44"/>
      <c r="C66" s="414" t="s">
        <v>725</v>
      </c>
      <c r="D66" s="415"/>
      <c r="E66" s="415"/>
      <c r="F66" s="415"/>
      <c r="G66" s="415"/>
      <c r="H66" s="415"/>
      <c r="I66" s="415"/>
      <c r="J66" s="415"/>
      <c r="K66" s="415"/>
      <c r="L66" s="415"/>
      <c r="M66" s="415"/>
      <c r="N66" s="415"/>
      <c r="O66" s="415"/>
    </row>
    <row r="67" spans="2:15" ht="28.5" customHeight="1" x14ac:dyDescent="0.2">
      <c r="B67" s="44"/>
      <c r="C67" s="414" t="s">
        <v>726</v>
      </c>
      <c r="D67" s="415"/>
      <c r="E67" s="415"/>
      <c r="F67" s="415"/>
      <c r="G67" s="415"/>
      <c r="H67" s="415"/>
      <c r="I67" s="415"/>
      <c r="J67" s="415"/>
      <c r="K67" s="415"/>
      <c r="L67" s="415"/>
      <c r="M67" s="415"/>
      <c r="N67" s="415"/>
      <c r="O67" s="415"/>
    </row>
    <row r="68" spans="2:15" ht="40.5" customHeight="1" x14ac:dyDescent="0.2">
      <c r="C68" s="424" t="s">
        <v>734</v>
      </c>
      <c r="D68" s="425"/>
      <c r="E68" s="425"/>
      <c r="F68" s="425"/>
      <c r="G68" s="425"/>
      <c r="H68" s="425"/>
      <c r="I68" s="425"/>
      <c r="J68" s="425"/>
      <c r="K68" s="425"/>
      <c r="L68" s="425"/>
      <c r="M68" s="425"/>
      <c r="N68" s="425"/>
      <c r="O68" s="425"/>
    </row>
    <row r="69" spans="2:15" ht="29.25" customHeight="1" x14ac:dyDescent="0.2">
      <c r="C69" s="415" t="s">
        <v>728</v>
      </c>
      <c r="D69" s="420"/>
      <c r="E69" s="420"/>
      <c r="F69" s="420"/>
      <c r="G69" s="420"/>
      <c r="H69" s="420"/>
      <c r="I69" s="420"/>
      <c r="J69" s="420"/>
      <c r="K69" s="420"/>
      <c r="L69" s="420"/>
      <c r="M69" s="420"/>
      <c r="N69" s="420"/>
      <c r="O69" s="420"/>
    </row>
    <row r="70" spans="2:15" ht="14.25" customHeight="1" x14ac:dyDescent="0.2">
      <c r="C70" s="415" t="s">
        <v>729</v>
      </c>
      <c r="D70" s="420"/>
      <c r="E70" s="420"/>
      <c r="F70" s="420"/>
      <c r="G70" s="420"/>
      <c r="H70" s="420"/>
      <c r="I70" s="420"/>
      <c r="J70" s="420"/>
      <c r="K70" s="420"/>
      <c r="L70" s="420"/>
      <c r="M70" s="420"/>
      <c r="N70" s="420"/>
      <c r="O70" s="420"/>
    </row>
    <row r="71" spans="2:15" ht="143.25" customHeight="1" x14ac:dyDescent="0.2">
      <c r="C71" s="431" t="s">
        <v>971</v>
      </c>
      <c r="D71" s="418"/>
      <c r="E71" s="418"/>
      <c r="F71" s="418"/>
      <c r="G71" s="418"/>
      <c r="H71" s="418"/>
      <c r="I71" s="418"/>
      <c r="J71" s="418"/>
      <c r="K71" s="418"/>
      <c r="L71" s="418"/>
      <c r="M71" s="418"/>
      <c r="N71" s="418"/>
      <c r="O71" s="418"/>
    </row>
    <row r="72" spans="2:15" x14ac:dyDescent="0.2">
      <c r="B72" s="42" t="s">
        <v>449</v>
      </c>
      <c r="C72" s="306" t="s">
        <v>450</v>
      </c>
      <c r="D72" s="307"/>
      <c r="E72" s="307"/>
      <c r="F72" s="307"/>
      <c r="G72" s="307"/>
      <c r="H72" s="307"/>
      <c r="I72" s="307"/>
      <c r="J72" s="307"/>
      <c r="K72" s="307"/>
      <c r="L72" s="307"/>
      <c r="M72" s="307"/>
      <c r="N72" s="308"/>
      <c r="O72" s="308"/>
    </row>
    <row r="73" spans="2:15" ht="51" customHeight="1" x14ac:dyDescent="0.2">
      <c r="B73" s="33"/>
      <c r="C73" s="428" t="s">
        <v>972</v>
      </c>
      <c r="D73" s="429"/>
      <c r="E73" s="429"/>
      <c r="F73" s="429"/>
      <c r="G73" s="429"/>
      <c r="H73" s="429"/>
      <c r="I73" s="429"/>
      <c r="J73" s="429"/>
      <c r="K73" s="429"/>
      <c r="L73" s="429"/>
      <c r="M73" s="429"/>
      <c r="N73" s="429"/>
      <c r="O73" s="429"/>
    </row>
    <row r="74" spans="2:15" x14ac:dyDescent="0.2">
      <c r="C74" s="417" t="s">
        <v>973</v>
      </c>
      <c r="D74" s="418"/>
      <c r="E74" s="418"/>
      <c r="F74" s="418"/>
      <c r="G74" s="418"/>
      <c r="H74" s="418"/>
      <c r="I74" s="418"/>
      <c r="J74" s="418"/>
      <c r="K74" s="418"/>
      <c r="L74" s="418"/>
      <c r="M74" s="418"/>
      <c r="N74" s="418"/>
      <c r="O74" s="418"/>
    </row>
    <row r="75" spans="2:15" x14ac:dyDescent="0.2">
      <c r="B75" s="43"/>
      <c r="C75" s="416" t="s">
        <v>348</v>
      </c>
      <c r="D75" s="416"/>
      <c r="E75" s="416" t="s">
        <v>719</v>
      </c>
      <c r="F75" s="416"/>
      <c r="G75" s="416"/>
      <c r="H75" s="416"/>
      <c r="I75" s="416"/>
      <c r="J75" s="416"/>
      <c r="K75" s="416" t="s">
        <v>451</v>
      </c>
      <c r="L75" s="416"/>
      <c r="M75" s="416"/>
      <c r="N75" s="416"/>
      <c r="O75" s="416"/>
    </row>
    <row r="76" spans="2:15" ht="66" customHeight="1" x14ac:dyDescent="0.2">
      <c r="B76" s="43"/>
      <c r="C76" s="430" t="s">
        <v>358</v>
      </c>
      <c r="D76" s="430"/>
      <c r="E76" s="432" t="s">
        <v>974</v>
      </c>
      <c r="F76" s="430"/>
      <c r="G76" s="430"/>
      <c r="H76" s="430"/>
      <c r="I76" s="430"/>
      <c r="J76" s="430"/>
      <c r="K76" s="430" t="s">
        <v>975</v>
      </c>
      <c r="L76" s="430"/>
      <c r="M76" s="430"/>
      <c r="N76" s="430"/>
      <c r="O76" s="430"/>
    </row>
    <row r="77" spans="2:15" ht="27.75" customHeight="1" x14ac:dyDescent="0.2">
      <c r="B77" s="43"/>
      <c r="C77" s="430" t="s">
        <v>342</v>
      </c>
      <c r="D77" s="430"/>
      <c r="E77" s="432" t="s">
        <v>976</v>
      </c>
      <c r="F77" s="432"/>
      <c r="G77" s="432"/>
      <c r="H77" s="432"/>
      <c r="I77" s="432"/>
      <c r="J77" s="432"/>
      <c r="K77" s="430" t="s">
        <v>977</v>
      </c>
      <c r="L77" s="430"/>
      <c r="M77" s="430"/>
      <c r="N77" s="430"/>
      <c r="O77" s="430"/>
    </row>
    <row r="78" spans="2:15" ht="27.75" customHeight="1" x14ac:dyDescent="0.2">
      <c r="B78" s="43"/>
      <c r="C78" s="430" t="s">
        <v>349</v>
      </c>
      <c r="D78" s="430"/>
      <c r="E78" s="432" t="s">
        <v>978</v>
      </c>
      <c r="F78" s="432"/>
      <c r="G78" s="432"/>
      <c r="H78" s="432"/>
      <c r="I78" s="432"/>
      <c r="J78" s="432"/>
      <c r="K78" s="430" t="s">
        <v>975</v>
      </c>
      <c r="L78" s="430"/>
      <c r="M78" s="430"/>
      <c r="N78" s="430"/>
      <c r="O78" s="430"/>
    </row>
    <row r="79" spans="2:15" ht="15.75" customHeight="1" x14ac:dyDescent="0.2">
      <c r="B79" s="43"/>
      <c r="C79" s="430" t="s">
        <v>359</v>
      </c>
      <c r="D79" s="430"/>
      <c r="E79" s="432" t="s">
        <v>736</v>
      </c>
      <c r="F79" s="432"/>
      <c r="G79" s="432"/>
      <c r="H79" s="432"/>
      <c r="I79" s="432"/>
      <c r="J79" s="432"/>
      <c r="K79" s="430" t="s">
        <v>975</v>
      </c>
      <c r="L79" s="430"/>
      <c r="M79" s="430"/>
      <c r="N79" s="430"/>
      <c r="O79" s="430"/>
    </row>
    <row r="80" spans="2:15" x14ac:dyDescent="0.2">
      <c r="B80" s="43"/>
      <c r="C80" s="430" t="s">
        <v>360</v>
      </c>
      <c r="D80" s="430"/>
      <c r="E80" s="432" t="s">
        <v>979</v>
      </c>
      <c r="F80" s="432"/>
      <c r="G80" s="432"/>
      <c r="H80" s="432"/>
      <c r="I80" s="432"/>
      <c r="J80" s="432"/>
      <c r="K80" s="430" t="s">
        <v>977</v>
      </c>
      <c r="L80" s="430"/>
      <c r="M80" s="430"/>
      <c r="N80" s="430"/>
      <c r="O80" s="430"/>
    </row>
    <row r="81" spans="2:15" x14ac:dyDescent="0.2">
      <c r="B81" s="43"/>
      <c r="C81" s="36"/>
      <c r="D81" s="35"/>
      <c r="E81" s="35"/>
      <c r="F81" s="35"/>
      <c r="G81" s="35"/>
      <c r="H81" s="35"/>
      <c r="I81" s="35"/>
      <c r="J81" s="35"/>
      <c r="K81" s="35"/>
      <c r="L81" s="35"/>
      <c r="M81" s="36"/>
    </row>
    <row r="82" spans="2:15" x14ac:dyDescent="0.2">
      <c r="C82" s="436" t="s">
        <v>288</v>
      </c>
      <c r="D82" s="436"/>
      <c r="E82" s="436"/>
      <c r="F82" s="436" t="s">
        <v>350</v>
      </c>
      <c r="G82" s="436"/>
      <c r="H82" s="436"/>
      <c r="I82" s="436"/>
      <c r="J82" s="436"/>
      <c r="K82" s="436"/>
      <c r="L82" s="436"/>
      <c r="M82" s="436"/>
      <c r="N82" s="436"/>
      <c r="O82" s="436"/>
    </row>
    <row r="83" spans="2:15" x14ac:dyDescent="0.2">
      <c r="C83" s="426" t="s">
        <v>732</v>
      </c>
      <c r="D83" s="426"/>
      <c r="E83" s="426"/>
      <c r="F83" s="426" t="s">
        <v>737</v>
      </c>
      <c r="G83" s="426"/>
      <c r="H83" s="426"/>
      <c r="I83" s="426"/>
      <c r="J83" s="426"/>
      <c r="K83" s="426"/>
      <c r="L83" s="426"/>
      <c r="M83" s="426"/>
      <c r="N83" s="426"/>
      <c r="O83" s="426"/>
    </row>
    <row r="84" spans="2:15" ht="27" customHeight="1" x14ac:dyDescent="0.2">
      <c r="C84" s="427" t="s">
        <v>295</v>
      </c>
      <c r="D84" s="427"/>
      <c r="E84" s="427"/>
      <c r="F84" s="454" t="s">
        <v>622</v>
      </c>
      <c r="G84" s="455"/>
      <c r="H84" s="455"/>
      <c r="I84" s="455"/>
      <c r="J84" s="455"/>
      <c r="K84" s="455"/>
      <c r="L84" s="455"/>
      <c r="M84" s="455"/>
      <c r="N84" s="455"/>
      <c r="O84" s="455"/>
    </row>
    <row r="85" spans="2:15" ht="39" customHeight="1" x14ac:dyDescent="0.2">
      <c r="C85" s="451" t="s">
        <v>294</v>
      </c>
      <c r="D85" s="451"/>
      <c r="E85" s="451"/>
      <c r="F85" s="434" t="s">
        <v>441</v>
      </c>
      <c r="G85" s="435"/>
      <c r="H85" s="435"/>
      <c r="I85" s="435"/>
      <c r="J85" s="435"/>
      <c r="K85" s="435"/>
      <c r="L85" s="435"/>
      <c r="M85" s="435"/>
      <c r="N85" s="435"/>
      <c r="O85" s="435"/>
    </row>
    <row r="86" spans="2:15" ht="39" customHeight="1" x14ac:dyDescent="0.2">
      <c r="C86" s="447" t="s">
        <v>452</v>
      </c>
      <c r="D86" s="447"/>
      <c r="E86" s="447"/>
      <c r="F86" s="443" t="s">
        <v>368</v>
      </c>
      <c r="G86" s="444"/>
      <c r="H86" s="444"/>
      <c r="I86" s="444"/>
      <c r="J86" s="444"/>
      <c r="K86" s="444"/>
      <c r="L86" s="444"/>
      <c r="M86" s="444"/>
      <c r="N86" s="444"/>
      <c r="O86" s="444"/>
    </row>
    <row r="87" spans="2:15" ht="28.5" customHeight="1" x14ac:dyDescent="0.2">
      <c r="C87" s="448" t="s">
        <v>64</v>
      </c>
      <c r="D87" s="448"/>
      <c r="E87" s="448"/>
      <c r="F87" s="449" t="s">
        <v>347</v>
      </c>
      <c r="G87" s="450"/>
      <c r="H87" s="450"/>
      <c r="I87" s="450"/>
      <c r="J87" s="450"/>
      <c r="K87" s="450"/>
      <c r="L87" s="450"/>
      <c r="M87" s="450"/>
      <c r="N87" s="450"/>
      <c r="O87" s="450"/>
    </row>
    <row r="88" spans="2:15" ht="27" customHeight="1" x14ac:dyDescent="0.2">
      <c r="B88" s="33"/>
      <c r="C88" s="441" t="s">
        <v>38</v>
      </c>
      <c r="D88" s="442"/>
      <c r="E88" s="442"/>
      <c r="F88" s="442"/>
      <c r="G88" s="442"/>
      <c r="H88" s="442"/>
      <c r="I88" s="442"/>
      <c r="J88" s="442"/>
      <c r="K88" s="442"/>
      <c r="L88" s="442"/>
      <c r="M88" s="442"/>
      <c r="N88" s="442"/>
      <c r="O88" s="442"/>
    </row>
    <row r="89" spans="2:15" ht="40.5" customHeight="1" x14ac:dyDescent="0.2">
      <c r="B89" s="33"/>
      <c r="C89" s="414" t="s">
        <v>720</v>
      </c>
      <c r="D89" s="422"/>
      <c r="E89" s="422"/>
      <c r="F89" s="422"/>
      <c r="G89" s="422"/>
      <c r="H89" s="422"/>
      <c r="I89" s="422"/>
      <c r="J89" s="422"/>
      <c r="K89" s="422"/>
      <c r="L89" s="422"/>
      <c r="M89" s="422"/>
      <c r="N89" s="422"/>
      <c r="O89" s="422"/>
    </row>
    <row r="90" spans="2:15" x14ac:dyDescent="0.2">
      <c r="B90" s="32"/>
      <c r="C90" s="32"/>
      <c r="D90" s="35"/>
      <c r="E90" s="35"/>
      <c r="F90" s="35"/>
      <c r="G90" s="35"/>
      <c r="H90" s="35"/>
      <c r="I90" s="35"/>
      <c r="J90" s="35"/>
      <c r="K90" s="35"/>
      <c r="L90" s="35"/>
      <c r="M90" s="35"/>
    </row>
    <row r="91" spans="2:15" x14ac:dyDescent="0.2">
      <c r="C91" s="46" t="s">
        <v>407</v>
      </c>
      <c r="D91" s="436" t="s">
        <v>427</v>
      </c>
      <c r="E91" s="436"/>
      <c r="F91" s="436" t="s">
        <v>409</v>
      </c>
      <c r="G91" s="427"/>
      <c r="H91" s="436"/>
      <c r="I91" s="436"/>
      <c r="J91" s="436" t="s">
        <v>417</v>
      </c>
      <c r="K91" s="436"/>
      <c r="L91" s="436"/>
      <c r="M91" s="436"/>
      <c r="N91" s="436"/>
      <c r="O91" s="436"/>
    </row>
    <row r="92" spans="2:15" ht="81" customHeight="1" x14ac:dyDescent="0.2">
      <c r="C92" s="47">
        <v>1</v>
      </c>
      <c r="D92" s="426" t="s">
        <v>420</v>
      </c>
      <c r="E92" s="426"/>
      <c r="F92" s="440" t="s">
        <v>421</v>
      </c>
      <c r="G92" s="438"/>
      <c r="H92" s="438"/>
      <c r="I92" s="438"/>
      <c r="J92" s="438" t="s">
        <v>252</v>
      </c>
      <c r="K92" s="439"/>
      <c r="L92" s="439"/>
      <c r="M92" s="439"/>
      <c r="N92" s="439"/>
      <c r="O92" s="439"/>
    </row>
    <row r="93" spans="2:15" ht="81" customHeight="1" x14ac:dyDescent="0.2">
      <c r="C93" s="47">
        <v>2</v>
      </c>
      <c r="D93" s="426" t="s">
        <v>422</v>
      </c>
      <c r="E93" s="426" t="s">
        <v>418</v>
      </c>
      <c r="F93" s="440" t="s">
        <v>423</v>
      </c>
      <c r="G93" s="438"/>
      <c r="H93" s="438"/>
      <c r="I93" s="438"/>
      <c r="J93" s="439" t="s">
        <v>424</v>
      </c>
      <c r="K93" s="439"/>
      <c r="L93" s="439"/>
      <c r="M93" s="439"/>
      <c r="N93" s="439"/>
      <c r="O93" s="439"/>
    </row>
    <row r="94" spans="2:15" ht="81" customHeight="1" x14ac:dyDescent="0.2">
      <c r="C94" s="47">
        <v>3</v>
      </c>
      <c r="D94" s="426" t="s">
        <v>66</v>
      </c>
      <c r="E94" s="426" t="s">
        <v>419</v>
      </c>
      <c r="F94" s="440" t="s">
        <v>425</v>
      </c>
      <c r="G94" s="438"/>
      <c r="H94" s="438"/>
      <c r="I94" s="438"/>
      <c r="J94" s="440" t="s">
        <v>426</v>
      </c>
      <c r="K94" s="439"/>
      <c r="L94" s="439"/>
      <c r="M94" s="439"/>
      <c r="N94" s="439"/>
      <c r="O94" s="439"/>
    </row>
    <row r="95" spans="2:15" x14ac:dyDescent="0.2">
      <c r="B95" s="42" t="s">
        <v>392</v>
      </c>
      <c r="C95" s="33" t="s">
        <v>393</v>
      </c>
      <c r="D95" s="42"/>
      <c r="E95" s="42"/>
      <c r="F95" s="42"/>
      <c r="G95" s="42"/>
      <c r="H95" s="42"/>
      <c r="I95" s="42"/>
      <c r="J95" s="42"/>
      <c r="K95" s="42"/>
      <c r="L95" s="42"/>
      <c r="M95" s="42"/>
    </row>
    <row r="96" spans="2:15" ht="41.25" customHeight="1" x14ac:dyDescent="0.2">
      <c r="C96" s="420" t="s">
        <v>623</v>
      </c>
      <c r="D96" s="420"/>
      <c r="E96" s="420"/>
      <c r="F96" s="420"/>
      <c r="G96" s="420"/>
      <c r="H96" s="420"/>
      <c r="I96" s="420"/>
      <c r="J96" s="420"/>
      <c r="K96" s="420"/>
      <c r="L96" s="420"/>
      <c r="M96" s="420"/>
      <c r="N96" s="420"/>
      <c r="O96" s="420"/>
    </row>
    <row r="97" spans="2:15" ht="54" customHeight="1" x14ac:dyDescent="0.2">
      <c r="C97" s="445" t="s">
        <v>733</v>
      </c>
      <c r="D97" s="446"/>
      <c r="E97" s="446"/>
      <c r="F97" s="446"/>
      <c r="G97" s="446"/>
      <c r="H97" s="446"/>
      <c r="I97" s="446"/>
      <c r="J97" s="446"/>
      <c r="K97" s="446"/>
      <c r="L97" s="446"/>
      <c r="M97" s="446"/>
      <c r="N97" s="446"/>
      <c r="O97" s="446"/>
    </row>
    <row r="98" spans="2:15" x14ac:dyDescent="0.2">
      <c r="B98" s="42" t="s">
        <v>361</v>
      </c>
      <c r="C98" s="33" t="s">
        <v>394</v>
      </c>
      <c r="D98" s="42"/>
      <c r="E98" s="42"/>
      <c r="F98" s="42"/>
      <c r="G98" s="42"/>
      <c r="H98" s="42"/>
      <c r="I98" s="42"/>
      <c r="J98" s="42"/>
      <c r="K98" s="42"/>
      <c r="L98" s="42"/>
      <c r="M98" s="42"/>
    </row>
    <row r="99" spans="2:15" ht="42.75" customHeight="1" x14ac:dyDescent="0.2">
      <c r="B99" s="32"/>
      <c r="C99" s="414" t="s">
        <v>980</v>
      </c>
      <c r="D99" s="415"/>
      <c r="E99" s="415"/>
      <c r="F99" s="415"/>
      <c r="G99" s="415"/>
      <c r="H99" s="415"/>
      <c r="I99" s="415"/>
      <c r="J99" s="415"/>
      <c r="K99" s="415"/>
      <c r="L99" s="415"/>
      <c r="M99" s="415"/>
      <c r="N99" s="415"/>
      <c r="O99" s="415"/>
    </row>
    <row r="100" spans="2:15" x14ac:dyDescent="0.2">
      <c r="B100" s="42" t="s">
        <v>395</v>
      </c>
      <c r="C100" s="33" t="s">
        <v>67</v>
      </c>
      <c r="D100" s="42"/>
      <c r="E100" s="42"/>
      <c r="F100" s="42"/>
      <c r="G100" s="42"/>
      <c r="H100" s="42"/>
      <c r="I100" s="42"/>
      <c r="J100" s="42"/>
      <c r="K100" s="42"/>
      <c r="L100" s="42"/>
      <c r="M100" s="42"/>
    </row>
    <row r="101" spans="2:15" ht="42" customHeight="1" x14ac:dyDescent="0.2">
      <c r="B101" s="32"/>
      <c r="C101" s="437" t="s">
        <v>624</v>
      </c>
      <c r="D101" s="420"/>
      <c r="E101" s="420"/>
      <c r="F101" s="420"/>
      <c r="G101" s="420"/>
      <c r="H101" s="420"/>
      <c r="I101" s="420"/>
      <c r="J101" s="420"/>
      <c r="K101" s="420"/>
      <c r="L101" s="420"/>
      <c r="M101" s="420"/>
      <c r="N101" s="420"/>
      <c r="O101" s="420"/>
    </row>
    <row r="102" spans="2:15" x14ac:dyDescent="0.2">
      <c r="B102" s="42" t="s">
        <v>396</v>
      </c>
      <c r="C102" s="33" t="s">
        <v>68</v>
      </c>
      <c r="D102" s="42"/>
      <c r="E102" s="42"/>
      <c r="F102" s="42"/>
      <c r="G102" s="42"/>
      <c r="H102" s="42"/>
      <c r="I102" s="42"/>
      <c r="J102" s="42"/>
      <c r="K102" s="42"/>
      <c r="L102" s="42"/>
      <c r="M102" s="42"/>
    </row>
    <row r="103" spans="2:15" ht="27" customHeight="1" x14ac:dyDescent="0.2">
      <c r="B103" s="32"/>
      <c r="C103" s="437" t="s">
        <v>625</v>
      </c>
      <c r="D103" s="420"/>
      <c r="E103" s="420"/>
      <c r="F103" s="420"/>
      <c r="G103" s="420"/>
      <c r="H103" s="420"/>
      <c r="I103" s="420"/>
      <c r="J103" s="420"/>
      <c r="K103" s="420"/>
      <c r="L103" s="420"/>
      <c r="M103" s="420"/>
      <c r="N103" s="420"/>
      <c r="O103" s="420"/>
    </row>
    <row r="104" spans="2:15" x14ac:dyDescent="0.2">
      <c r="C104" s="433" t="s">
        <v>397</v>
      </c>
      <c r="D104" s="423"/>
      <c r="E104" s="423"/>
      <c r="F104" s="423"/>
      <c r="G104" s="423"/>
      <c r="H104" s="423"/>
      <c r="I104" s="423"/>
      <c r="J104" s="423"/>
      <c r="K104" s="423"/>
      <c r="L104" s="423"/>
      <c r="M104" s="423"/>
      <c r="N104" s="423"/>
      <c r="O104" s="423"/>
    </row>
    <row r="105" spans="2:15" x14ac:dyDescent="0.2">
      <c r="B105" s="32"/>
      <c r="C105" s="32"/>
      <c r="D105" s="32"/>
      <c r="E105" s="32"/>
    </row>
    <row r="106" spans="2:15" x14ac:dyDescent="0.2">
      <c r="B106" s="457" t="s">
        <v>673</v>
      </c>
      <c r="C106" s="457"/>
      <c r="D106" s="37"/>
      <c r="E106" s="37"/>
      <c r="F106" s="37"/>
      <c r="G106" s="37"/>
      <c r="H106" s="37"/>
      <c r="I106" s="37"/>
      <c r="J106" s="37"/>
      <c r="K106" s="37"/>
      <c r="L106" s="37"/>
      <c r="M106" s="37"/>
    </row>
    <row r="108" spans="2:15" x14ac:dyDescent="0.2">
      <c r="B108" s="460" t="s">
        <v>674</v>
      </c>
      <c r="C108" s="461"/>
      <c r="D108" s="413" t="s">
        <v>675</v>
      </c>
      <c r="E108" s="413"/>
      <c r="F108" s="413"/>
      <c r="G108" s="413"/>
      <c r="H108" s="413"/>
    </row>
    <row r="109" spans="2:15" x14ac:dyDescent="0.2">
      <c r="B109" s="458" t="s">
        <v>351</v>
      </c>
      <c r="C109" s="459"/>
      <c r="D109" s="456" t="s">
        <v>692</v>
      </c>
      <c r="E109" s="456"/>
      <c r="F109" s="456"/>
      <c r="G109" s="456"/>
      <c r="H109" s="456"/>
    </row>
    <row r="110" spans="2:15" x14ac:dyDescent="0.2">
      <c r="B110" s="456" t="s">
        <v>352</v>
      </c>
      <c r="C110" s="456"/>
      <c r="D110" s="456" t="s">
        <v>693</v>
      </c>
      <c r="E110" s="456"/>
      <c r="F110" s="456"/>
      <c r="G110" s="456"/>
      <c r="H110" s="456"/>
    </row>
    <row r="111" spans="2:15" x14ac:dyDescent="0.2">
      <c r="B111" s="456" t="s">
        <v>676</v>
      </c>
      <c r="C111" s="456"/>
      <c r="D111" s="456" t="s">
        <v>677</v>
      </c>
      <c r="E111" s="456"/>
      <c r="F111" s="456"/>
      <c r="G111" s="456"/>
      <c r="H111" s="456"/>
    </row>
    <row r="112" spans="2:15" x14ac:dyDescent="0.2">
      <c r="B112" s="456" t="s">
        <v>341</v>
      </c>
      <c r="C112" s="456"/>
      <c r="D112" s="456" t="s">
        <v>678</v>
      </c>
      <c r="E112" s="456"/>
      <c r="F112" s="456"/>
      <c r="G112" s="456"/>
      <c r="H112" s="456"/>
    </row>
    <row r="113" spans="2:8" x14ac:dyDescent="0.2">
      <c r="B113" s="456" t="s">
        <v>679</v>
      </c>
      <c r="C113" s="456"/>
      <c r="D113" s="456" t="s">
        <v>680</v>
      </c>
      <c r="E113" s="456"/>
      <c r="F113" s="456"/>
      <c r="G113" s="456"/>
      <c r="H113" s="456"/>
    </row>
    <row r="114" spans="2:8" x14ac:dyDescent="0.2">
      <c r="B114" s="456" t="s">
        <v>681</v>
      </c>
      <c r="C114" s="456"/>
      <c r="D114" s="456" t="s">
        <v>694</v>
      </c>
      <c r="E114" s="456"/>
      <c r="F114" s="456"/>
      <c r="G114" s="456"/>
      <c r="H114" s="456"/>
    </row>
    <row r="115" spans="2:8" x14ac:dyDescent="0.2">
      <c r="B115" s="456" t="s">
        <v>682</v>
      </c>
      <c r="C115" s="456"/>
      <c r="D115" s="456" t="s">
        <v>683</v>
      </c>
      <c r="E115" s="456"/>
      <c r="F115" s="456"/>
      <c r="G115" s="456"/>
      <c r="H115" s="456"/>
    </row>
    <row r="116" spans="2:8" x14ac:dyDescent="0.2">
      <c r="B116" s="456" t="s">
        <v>684</v>
      </c>
      <c r="C116" s="456"/>
      <c r="D116" s="456" t="s">
        <v>287</v>
      </c>
      <c r="E116" s="456"/>
      <c r="F116" s="456"/>
      <c r="G116" s="456"/>
      <c r="H116" s="456"/>
    </row>
    <row r="117" spans="2:8" x14ac:dyDescent="0.2">
      <c r="B117" s="456" t="s">
        <v>283</v>
      </c>
      <c r="C117" s="456"/>
      <c r="D117" s="456" t="s">
        <v>695</v>
      </c>
      <c r="E117" s="456"/>
      <c r="F117" s="456"/>
      <c r="G117" s="456"/>
      <c r="H117" s="456"/>
    </row>
    <row r="118" spans="2:8" x14ac:dyDescent="0.2">
      <c r="B118" s="456" t="s">
        <v>284</v>
      </c>
      <c r="C118" s="456"/>
      <c r="D118" s="456" t="s">
        <v>696</v>
      </c>
      <c r="E118" s="456"/>
      <c r="F118" s="456"/>
      <c r="G118" s="456"/>
      <c r="H118" s="456"/>
    </row>
    <row r="119" spans="2:8" x14ac:dyDescent="0.2">
      <c r="B119" s="456" t="s">
        <v>647</v>
      </c>
      <c r="C119" s="456"/>
      <c r="D119" s="456" t="s">
        <v>685</v>
      </c>
      <c r="E119" s="456"/>
      <c r="F119" s="456"/>
      <c r="G119" s="456"/>
      <c r="H119" s="456"/>
    </row>
    <row r="120" spans="2:8" x14ac:dyDescent="0.2">
      <c r="B120" s="456" t="s">
        <v>289</v>
      </c>
      <c r="C120" s="456"/>
      <c r="D120" s="456" t="s">
        <v>453</v>
      </c>
      <c r="E120" s="456"/>
      <c r="F120" s="456"/>
      <c r="G120" s="456"/>
      <c r="H120" s="456"/>
    </row>
    <row r="121" spans="2:8" x14ac:dyDescent="0.2">
      <c r="B121" s="456" t="s">
        <v>286</v>
      </c>
      <c r="C121" s="456"/>
      <c r="D121" s="456" t="s">
        <v>686</v>
      </c>
      <c r="E121" s="456"/>
      <c r="F121" s="456"/>
      <c r="G121" s="456"/>
      <c r="H121" s="456"/>
    </row>
    <row r="122" spans="2:8" x14ac:dyDescent="0.2">
      <c r="B122" s="456" t="s">
        <v>648</v>
      </c>
      <c r="C122" s="456"/>
      <c r="D122" s="456" t="s">
        <v>687</v>
      </c>
      <c r="E122" s="456"/>
      <c r="F122" s="456"/>
      <c r="G122" s="456"/>
      <c r="H122" s="456"/>
    </row>
    <row r="123" spans="2:8" x14ac:dyDescent="0.2">
      <c r="B123" s="456" t="s">
        <v>652</v>
      </c>
      <c r="C123" s="456"/>
      <c r="D123" s="456" t="s">
        <v>697</v>
      </c>
      <c r="E123" s="456"/>
      <c r="F123" s="456"/>
      <c r="G123" s="456"/>
      <c r="H123" s="456"/>
    </row>
    <row r="124" spans="2:8" x14ac:dyDescent="0.2">
      <c r="B124" s="456" t="s">
        <v>285</v>
      </c>
      <c r="C124" s="456"/>
      <c r="D124" s="456" t="s">
        <v>290</v>
      </c>
      <c r="E124" s="456"/>
      <c r="F124" s="456"/>
      <c r="G124" s="456"/>
      <c r="H124" s="456"/>
    </row>
    <row r="125" spans="2:8" x14ac:dyDescent="0.2">
      <c r="B125" s="456" t="s">
        <v>650</v>
      </c>
      <c r="C125" s="456"/>
      <c r="D125" s="456" t="s">
        <v>691</v>
      </c>
      <c r="E125" s="456"/>
      <c r="F125" s="456"/>
      <c r="G125" s="456"/>
      <c r="H125" s="456"/>
    </row>
    <row r="126" spans="2:8" x14ac:dyDescent="0.2">
      <c r="B126" s="456" t="s">
        <v>688</v>
      </c>
      <c r="C126" s="456"/>
      <c r="D126" s="456" t="s">
        <v>689</v>
      </c>
      <c r="E126" s="456"/>
      <c r="F126" s="456"/>
      <c r="G126" s="456"/>
      <c r="H126" s="456"/>
    </row>
    <row r="127" spans="2:8" x14ac:dyDescent="0.2">
      <c r="B127" s="456" t="s">
        <v>698</v>
      </c>
      <c r="C127" s="456"/>
      <c r="D127" s="456" t="s">
        <v>704</v>
      </c>
      <c r="E127" s="456"/>
      <c r="F127" s="456"/>
      <c r="G127" s="456"/>
      <c r="H127" s="456"/>
    </row>
    <row r="128" spans="2:8" x14ac:dyDescent="0.2">
      <c r="B128" s="456" t="s">
        <v>699</v>
      </c>
      <c r="C128" s="456"/>
      <c r="D128" s="456" t="s">
        <v>700</v>
      </c>
      <c r="E128" s="456"/>
      <c r="F128" s="456"/>
      <c r="G128" s="456"/>
      <c r="H128" s="456"/>
    </row>
    <row r="129" spans="2:8" x14ac:dyDescent="0.2">
      <c r="B129" s="456" t="s">
        <v>701</v>
      </c>
      <c r="C129" s="456"/>
      <c r="D129" s="456" t="s">
        <v>705</v>
      </c>
      <c r="E129" s="456"/>
      <c r="F129" s="456"/>
      <c r="G129" s="456"/>
      <c r="H129" s="456"/>
    </row>
    <row r="130" spans="2:8" x14ac:dyDescent="0.2">
      <c r="B130" s="456" t="s">
        <v>703</v>
      </c>
      <c r="C130" s="456"/>
      <c r="D130" s="456" t="s">
        <v>702</v>
      </c>
      <c r="E130" s="456"/>
      <c r="F130" s="456"/>
      <c r="G130" s="456"/>
      <c r="H130" s="456"/>
    </row>
    <row r="131" spans="2:8" x14ac:dyDescent="0.2">
      <c r="B131" s="456" t="s">
        <v>707</v>
      </c>
      <c r="C131" s="456"/>
      <c r="D131" s="456" t="s">
        <v>708</v>
      </c>
      <c r="E131" s="456"/>
      <c r="F131" s="456"/>
      <c r="G131" s="456"/>
      <c r="H131" s="456"/>
    </row>
    <row r="132" spans="2:8" x14ac:dyDescent="0.2">
      <c r="B132" s="458" t="s">
        <v>709</v>
      </c>
      <c r="C132" s="459"/>
      <c r="D132" s="456" t="s">
        <v>710</v>
      </c>
      <c r="E132" s="456"/>
      <c r="F132" s="456"/>
      <c r="G132" s="456"/>
      <c r="H132" s="456"/>
    </row>
    <row r="133" spans="2:8" x14ac:dyDescent="0.2">
      <c r="B133" s="38"/>
      <c r="C133" s="38"/>
      <c r="D133" s="39"/>
      <c r="E133" s="39"/>
      <c r="F133" s="39"/>
    </row>
    <row r="134" spans="2:8" x14ac:dyDescent="0.2">
      <c r="B134" s="38"/>
      <c r="C134" s="38"/>
      <c r="D134" s="39"/>
      <c r="E134" s="39"/>
      <c r="F134" s="39"/>
    </row>
    <row r="135" spans="2:8" x14ac:dyDescent="0.2">
      <c r="B135" s="38"/>
      <c r="C135" s="38"/>
      <c r="D135" s="39"/>
      <c r="E135" s="39"/>
      <c r="F135" s="39"/>
    </row>
    <row r="136" spans="2:8" x14ac:dyDescent="0.2">
      <c r="B136" s="38"/>
      <c r="C136" s="38"/>
      <c r="D136" s="39"/>
      <c r="E136" s="39"/>
      <c r="F136" s="39"/>
    </row>
    <row r="137" spans="2:8" x14ac:dyDescent="0.2">
      <c r="B137" s="38"/>
      <c r="C137" s="38"/>
      <c r="D137" s="39"/>
      <c r="E137" s="39"/>
      <c r="F137" s="39"/>
    </row>
  </sheetData>
  <mergeCells count="133">
    <mergeCell ref="B131:C131"/>
    <mergeCell ref="B132:C132"/>
    <mergeCell ref="B125:C125"/>
    <mergeCell ref="B126:C126"/>
    <mergeCell ref="B127:C127"/>
    <mergeCell ref="B128:C128"/>
    <mergeCell ref="B129:C129"/>
    <mergeCell ref="B130:C130"/>
    <mergeCell ref="D125:H125"/>
    <mergeCell ref="D126:H126"/>
    <mergeCell ref="D127:H127"/>
    <mergeCell ref="D128:H128"/>
    <mergeCell ref="D129:H129"/>
    <mergeCell ref="D130:H130"/>
    <mergeCell ref="D131:H131"/>
    <mergeCell ref="D132:H132"/>
    <mergeCell ref="D124:H124"/>
    <mergeCell ref="B108:C108"/>
    <mergeCell ref="B110:C110"/>
    <mergeCell ref="B111:C111"/>
    <mergeCell ref="B112:C112"/>
    <mergeCell ref="B113:C113"/>
    <mergeCell ref="B114:C114"/>
    <mergeCell ref="D109:H109"/>
    <mergeCell ref="D110:H110"/>
    <mergeCell ref="D111:H111"/>
    <mergeCell ref="D112:H112"/>
    <mergeCell ref="D113:H113"/>
    <mergeCell ref="D114:H114"/>
    <mergeCell ref="D115:H115"/>
    <mergeCell ref="D116:H116"/>
    <mergeCell ref="D117:H117"/>
    <mergeCell ref="D118:H118"/>
    <mergeCell ref="D119:H119"/>
    <mergeCell ref="D120:H120"/>
    <mergeCell ref="D121:H121"/>
    <mergeCell ref="D122:H122"/>
    <mergeCell ref="D123:H123"/>
    <mergeCell ref="B120:C120"/>
    <mergeCell ref="B121:C121"/>
    <mergeCell ref="B122:C122"/>
    <mergeCell ref="B123:C123"/>
    <mergeCell ref="B124:C124"/>
    <mergeCell ref="B115:C115"/>
    <mergeCell ref="B116:C116"/>
    <mergeCell ref="B117:C117"/>
    <mergeCell ref="B118:C118"/>
    <mergeCell ref="B119:C119"/>
    <mergeCell ref="B106:C106"/>
    <mergeCell ref="B109:C109"/>
    <mergeCell ref="C65:O65"/>
    <mergeCell ref="J94:O94"/>
    <mergeCell ref="D91:E91"/>
    <mergeCell ref="D93:E93"/>
    <mergeCell ref="C41:O41"/>
    <mergeCell ref="C43:O43"/>
    <mergeCell ref="C44:O44"/>
    <mergeCell ref="C45:O45"/>
    <mergeCell ref="C46:O46"/>
    <mergeCell ref="C63:O63"/>
    <mergeCell ref="C52:O52"/>
    <mergeCell ref="C53:O53"/>
    <mergeCell ref="C54:O54"/>
    <mergeCell ref="C62:O62"/>
    <mergeCell ref="C80:D80"/>
    <mergeCell ref="K79:O79"/>
    <mergeCell ref="E79:J79"/>
    <mergeCell ref="F84:O84"/>
    <mergeCell ref="K80:O80"/>
    <mergeCell ref="C82:E82"/>
    <mergeCell ref="C79:D79"/>
    <mergeCell ref="E80:J80"/>
    <mergeCell ref="F82:O82"/>
    <mergeCell ref="C83:E83"/>
    <mergeCell ref="C104:O104"/>
    <mergeCell ref="F85:O85"/>
    <mergeCell ref="F91:I91"/>
    <mergeCell ref="C101:O101"/>
    <mergeCell ref="C99:O99"/>
    <mergeCell ref="C96:O96"/>
    <mergeCell ref="J92:O92"/>
    <mergeCell ref="D94:E94"/>
    <mergeCell ref="F94:I94"/>
    <mergeCell ref="C88:O88"/>
    <mergeCell ref="F86:O86"/>
    <mergeCell ref="C97:O97"/>
    <mergeCell ref="C103:O103"/>
    <mergeCell ref="C86:E86"/>
    <mergeCell ref="C87:E87"/>
    <mergeCell ref="J93:O93"/>
    <mergeCell ref="F93:I93"/>
    <mergeCell ref="D92:E92"/>
    <mergeCell ref="F92:I92"/>
    <mergeCell ref="F87:O87"/>
    <mergeCell ref="J91:O91"/>
    <mergeCell ref="C89:O89"/>
    <mergeCell ref="C85:E85"/>
    <mergeCell ref="C78:D78"/>
    <mergeCell ref="C67:O67"/>
    <mergeCell ref="C69:O69"/>
    <mergeCell ref="C71:O71"/>
    <mergeCell ref="K78:O78"/>
    <mergeCell ref="K76:O76"/>
    <mergeCell ref="C77:D77"/>
    <mergeCell ref="E78:J78"/>
    <mergeCell ref="K77:O77"/>
    <mergeCell ref="E76:J76"/>
    <mergeCell ref="E77:J77"/>
    <mergeCell ref="C76:D76"/>
    <mergeCell ref="D108:H108"/>
    <mergeCell ref="C66:O66"/>
    <mergeCell ref="C75:D75"/>
    <mergeCell ref="C74:O74"/>
    <mergeCell ref="A2:M2"/>
    <mergeCell ref="A6:M6"/>
    <mergeCell ref="C64:O64"/>
    <mergeCell ref="B3:O3"/>
    <mergeCell ref="B4:O4"/>
    <mergeCell ref="B5:O5"/>
    <mergeCell ref="C40:O40"/>
    <mergeCell ref="A38:M38"/>
    <mergeCell ref="C51:O51"/>
    <mergeCell ref="C50:O50"/>
    <mergeCell ref="C49:O49"/>
    <mergeCell ref="C48:O48"/>
    <mergeCell ref="C60:I60"/>
    <mergeCell ref="K75:O75"/>
    <mergeCell ref="E75:J75"/>
    <mergeCell ref="C68:O68"/>
    <mergeCell ref="F83:O83"/>
    <mergeCell ref="C84:E84"/>
    <mergeCell ref="C70:O70"/>
    <mergeCell ref="C73:O73"/>
  </mergeCells>
  <phoneticPr fontId="10" type="noConversion"/>
  <pageMargins left="0.55118110236220474" right="0.35433070866141736" top="0.47244094488188981" bottom="0.59055118110236227" header="0.31496062992125984" footer="0.23622047244094491"/>
  <pageSetup paperSize="9" orientation="landscape" r:id="rId1"/>
  <headerFooter alignWithMargins="0">
    <oddFooter>&amp;L02e-CL/CL/HDCV/FSOFT v2/3&amp;CInternal use&amp;R&amp;P/&amp;N</oddFooter>
  </headerFooter>
  <drawing r:id="rId2"/>
  <legacyDrawing r:id="rId3"/>
  <oleObjects>
    <mc:AlternateContent xmlns:mc="http://schemas.openxmlformats.org/markup-compatibility/2006">
      <mc:Choice Requires="x14">
        <oleObject progId="Visio.Drawing.11" shapeId="749579" r:id="rId4">
          <objectPr defaultSize="0" autoPict="0" r:id="rId5">
            <anchor moveWithCells="1">
              <from>
                <xdr:col>0</xdr:col>
                <xdr:colOff>133350</xdr:colOff>
                <xdr:row>6</xdr:row>
                <xdr:rowOff>152400</xdr:rowOff>
              </from>
              <to>
                <xdr:col>14</xdr:col>
                <xdr:colOff>600075</xdr:colOff>
                <xdr:row>36</xdr:row>
                <xdr:rowOff>942975</xdr:rowOff>
              </to>
            </anchor>
          </objectPr>
        </oleObject>
      </mc:Choice>
      <mc:Fallback>
        <oleObject progId="Visio.Drawing.11" shapeId="749579" r:id="rId4"/>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W110"/>
  <sheetViews>
    <sheetView showGridLines="0" zoomScale="98" zoomScaleNormal="98" zoomScaleSheetLayoutView="42" workbookViewId="0">
      <selection activeCell="I6" sqref="I6"/>
    </sheetView>
  </sheetViews>
  <sheetFormatPr defaultColWidth="11.42578125" defaultRowHeight="12.75" x14ac:dyDescent="0.2"/>
  <cols>
    <col min="1" max="1" width="3.28515625" style="177" customWidth="1"/>
    <col min="2" max="2" width="21.85546875" style="177" customWidth="1"/>
    <col min="3" max="3" width="13.5703125" style="177" customWidth="1"/>
    <col min="4" max="4" width="16.28515625" style="177" customWidth="1"/>
    <col min="5" max="5" width="13.140625" style="177" customWidth="1"/>
    <col min="6" max="6" width="13.28515625" style="177" customWidth="1"/>
    <col min="7" max="8" width="15.42578125" style="177" bestFit="1" customWidth="1"/>
    <col min="9" max="9" width="12.5703125" style="177" customWidth="1"/>
    <col min="10" max="10" width="15.85546875" style="177" bestFit="1" customWidth="1"/>
    <col min="11" max="11" width="15.5703125" style="177" bestFit="1" customWidth="1"/>
    <col min="12" max="13" width="12.140625" style="177" bestFit="1" customWidth="1"/>
    <col min="14" max="14" width="12" style="177" customWidth="1"/>
    <col min="15" max="31" width="12.140625" style="177" bestFit="1" customWidth="1"/>
    <col min="32" max="35" width="11.7109375" style="177" customWidth="1"/>
    <col min="36" max="49" width="11.42578125" style="177" customWidth="1"/>
    <col min="50" max="16384" width="11.42578125" style="177"/>
  </cols>
  <sheetData>
    <row r="1" spans="2:49" s="197" customFormat="1" ht="20.25" x14ac:dyDescent="0.2">
      <c r="B1" s="196" t="s">
        <v>291</v>
      </c>
      <c r="C1" s="196"/>
      <c r="D1" s="196"/>
      <c r="H1" s="196"/>
      <c r="I1" s="196"/>
      <c r="J1" s="196"/>
      <c r="K1" s="196"/>
      <c r="L1" s="196"/>
      <c r="M1" s="196"/>
      <c r="N1" s="196"/>
      <c r="O1" s="196"/>
      <c r="P1" s="196"/>
      <c r="Q1" s="196"/>
      <c r="R1" s="196"/>
      <c r="S1" s="196"/>
      <c r="T1" s="196"/>
      <c r="U1" s="196"/>
      <c r="V1" s="196"/>
      <c r="W1" s="196"/>
      <c r="X1" s="196"/>
      <c r="Y1" s="196"/>
      <c r="Z1" s="196"/>
      <c r="AA1" s="196"/>
      <c r="AB1" s="196"/>
      <c r="AC1" s="196"/>
      <c r="AD1" s="196"/>
      <c r="AE1" s="196"/>
      <c r="AF1" s="196"/>
      <c r="AG1" s="196"/>
      <c r="AH1" s="196"/>
      <c r="AI1" s="196"/>
      <c r="AJ1" s="196"/>
      <c r="AK1" s="196"/>
      <c r="AL1" s="196"/>
      <c r="AM1" s="196"/>
      <c r="AN1" s="196"/>
      <c r="AO1" s="196"/>
      <c r="AP1" s="196"/>
      <c r="AQ1" s="196"/>
      <c r="AR1" s="196"/>
      <c r="AS1" s="196"/>
      <c r="AT1" s="196"/>
      <c r="AU1" s="196"/>
      <c r="AV1" s="196"/>
      <c r="AW1" s="196"/>
    </row>
    <row r="2" spans="2:49" x14ac:dyDescent="0.2">
      <c r="B2" s="4" t="s">
        <v>354</v>
      </c>
      <c r="C2" s="262" t="s">
        <v>1090</v>
      </c>
      <c r="D2" s="263" t="s">
        <v>542</v>
      </c>
      <c r="E2" s="48" t="s">
        <v>636</v>
      </c>
      <c r="F2" s="49" t="s">
        <v>580</v>
      </c>
      <c r="J2" s="4"/>
      <c r="K2" s="176"/>
      <c r="M2" s="462"/>
      <c r="N2" s="462"/>
      <c r="O2" s="176"/>
      <c r="Q2" s="462"/>
      <c r="R2" s="462"/>
      <c r="S2" s="176"/>
      <c r="U2" s="462"/>
      <c r="V2" s="462"/>
      <c r="W2" s="176"/>
      <c r="Y2" s="462"/>
      <c r="Z2" s="462"/>
      <c r="AA2" s="176"/>
      <c r="AC2" s="462"/>
      <c r="AD2" s="462"/>
      <c r="AE2" s="176"/>
      <c r="AF2" s="176"/>
      <c r="AH2" s="462"/>
      <c r="AI2" s="462"/>
      <c r="AJ2" s="176"/>
      <c r="AL2" s="4"/>
      <c r="AM2" s="462"/>
      <c r="AN2" s="462"/>
      <c r="AO2" s="176"/>
      <c r="AQ2" s="462"/>
      <c r="AR2" s="462"/>
      <c r="AS2" s="176"/>
      <c r="AU2" s="462"/>
      <c r="AV2" s="462"/>
      <c r="AW2" s="176"/>
    </row>
    <row r="3" spans="2:49" x14ac:dyDescent="0.2">
      <c r="B3" s="4" t="s">
        <v>401</v>
      </c>
      <c r="C3" s="50">
        <v>42461</v>
      </c>
      <c r="D3" s="49"/>
      <c r="F3" s="49" t="s">
        <v>533</v>
      </c>
      <c r="J3" s="4"/>
      <c r="K3" s="176"/>
      <c r="M3" s="4"/>
      <c r="N3" s="4"/>
      <c r="O3" s="176"/>
      <c r="Q3" s="4"/>
      <c r="R3" s="4"/>
      <c r="S3" s="176"/>
      <c r="U3" s="4"/>
      <c r="V3" s="4"/>
      <c r="W3" s="176"/>
      <c r="Y3" s="4"/>
      <c r="Z3" s="4"/>
      <c r="AA3" s="176"/>
      <c r="AC3" s="4"/>
      <c r="AD3" s="4"/>
      <c r="AE3" s="176"/>
      <c r="AF3" s="176"/>
      <c r="AH3" s="4"/>
      <c r="AI3" s="4"/>
      <c r="AJ3" s="176"/>
      <c r="AL3" s="4"/>
      <c r="AM3" s="4"/>
      <c r="AN3" s="4"/>
      <c r="AO3" s="176"/>
      <c r="AQ3" s="4"/>
      <c r="AR3" s="4"/>
      <c r="AS3" s="176"/>
      <c r="AU3" s="4"/>
      <c r="AV3" s="4"/>
      <c r="AW3" s="176"/>
    </row>
    <row r="4" spans="2:49" x14ac:dyDescent="0.2">
      <c r="B4" s="4" t="s">
        <v>277</v>
      </c>
      <c r="C4" s="262" t="s">
        <v>1091</v>
      </c>
      <c r="E4" s="264"/>
      <c r="F4" s="49" t="str">
        <f>IF(E2="","",IF(LEFT(E2,1)="O","*D*","*"&amp;LEFT(E2,1)&amp;"*"))</f>
        <v>*D*</v>
      </c>
      <c r="J4" s="4"/>
      <c r="K4" s="176"/>
      <c r="M4" s="4"/>
      <c r="N4" s="4"/>
      <c r="O4" s="176"/>
      <c r="Q4" s="4"/>
      <c r="R4" s="4"/>
      <c r="S4" s="176"/>
      <c r="U4" s="4"/>
      <c r="V4" s="4"/>
      <c r="W4" s="176"/>
      <c r="Y4" s="4"/>
      <c r="Z4" s="4"/>
      <c r="AA4" s="176"/>
      <c r="AC4" s="4"/>
      <c r="AD4" s="4"/>
      <c r="AE4" s="176"/>
      <c r="AF4" s="176"/>
      <c r="AH4" s="4"/>
      <c r="AI4" s="4"/>
      <c r="AJ4" s="176"/>
      <c r="AL4" s="4"/>
      <c r="AM4" s="4"/>
      <c r="AN4" s="4"/>
      <c r="AO4" s="176"/>
      <c r="AQ4" s="4"/>
      <c r="AR4" s="4"/>
      <c r="AS4" s="176"/>
      <c r="AU4" s="4"/>
      <c r="AV4" s="4"/>
      <c r="AW4" s="176"/>
    </row>
    <row r="5" spans="2:49" x14ac:dyDescent="0.2">
      <c r="B5" s="4" t="s">
        <v>278</v>
      </c>
      <c r="C5" s="262" t="s">
        <v>1092</v>
      </c>
      <c r="J5" s="4"/>
      <c r="K5" s="176"/>
      <c r="M5" s="4"/>
      <c r="N5" s="4"/>
      <c r="O5" s="176"/>
      <c r="Q5" s="4"/>
      <c r="R5" s="4"/>
      <c r="S5" s="176"/>
      <c r="U5" s="4"/>
      <c r="V5" s="4"/>
      <c r="W5" s="176"/>
      <c r="Y5" s="4"/>
      <c r="Z5" s="4"/>
      <c r="AA5" s="176"/>
      <c r="AC5" s="4"/>
      <c r="AD5" s="4"/>
      <c r="AE5" s="176"/>
      <c r="AF5" s="176"/>
      <c r="AH5" s="4"/>
      <c r="AI5" s="4"/>
      <c r="AJ5" s="176"/>
      <c r="AL5" s="4"/>
      <c r="AM5" s="4"/>
      <c r="AN5" s="4"/>
      <c r="AO5" s="176"/>
      <c r="AQ5" s="4"/>
      <c r="AR5" s="4"/>
      <c r="AS5" s="176"/>
      <c r="AU5" s="4"/>
      <c r="AV5" s="4"/>
      <c r="AW5" s="176"/>
    </row>
    <row r="6" spans="2:49" x14ac:dyDescent="0.2">
      <c r="B6" s="4" t="s">
        <v>355</v>
      </c>
      <c r="C6" s="262" t="s">
        <v>1093</v>
      </c>
      <c r="J6" s="4"/>
      <c r="M6" s="462"/>
      <c r="N6" s="462"/>
      <c r="Q6" s="462"/>
      <c r="R6" s="462"/>
      <c r="U6" s="462"/>
      <c r="V6" s="462"/>
      <c r="Y6" s="462"/>
      <c r="Z6" s="462"/>
      <c r="AC6" s="462"/>
      <c r="AD6" s="462"/>
      <c r="AH6" s="462"/>
      <c r="AI6" s="462"/>
      <c r="AL6" s="4"/>
      <c r="AM6" s="462"/>
      <c r="AN6" s="462"/>
      <c r="AQ6" s="462"/>
      <c r="AR6" s="462"/>
      <c r="AU6" s="462"/>
      <c r="AV6" s="462"/>
    </row>
    <row r="7" spans="2:49" x14ac:dyDescent="0.2">
      <c r="B7" s="4" t="s">
        <v>356</v>
      </c>
      <c r="C7" s="262" t="s">
        <v>1094</v>
      </c>
      <c r="J7" s="4"/>
      <c r="M7" s="462"/>
      <c r="N7" s="462"/>
      <c r="Q7" s="462"/>
      <c r="R7" s="462"/>
      <c r="U7" s="462"/>
      <c r="V7" s="462"/>
      <c r="Y7" s="462"/>
      <c r="Z7" s="462"/>
      <c r="AC7" s="462"/>
      <c r="AD7" s="462"/>
      <c r="AH7" s="462"/>
      <c r="AI7" s="462"/>
      <c r="AL7" s="4"/>
      <c r="AM7" s="462"/>
      <c r="AN7" s="462"/>
      <c r="AQ7" s="462"/>
      <c r="AR7" s="462"/>
      <c r="AU7" s="462"/>
      <c r="AV7" s="462"/>
    </row>
    <row r="8" spans="2:49" x14ac:dyDescent="0.2">
      <c r="B8" s="4" t="s">
        <v>357</v>
      </c>
      <c r="C8" s="262" t="s">
        <v>1095</v>
      </c>
      <c r="J8" s="4"/>
      <c r="M8" s="462"/>
      <c r="N8" s="462"/>
      <c r="Q8" s="462"/>
      <c r="R8" s="462"/>
      <c r="U8" s="462"/>
      <c r="V8" s="462"/>
      <c r="Y8" s="462"/>
      <c r="Z8" s="462"/>
      <c r="AC8" s="462"/>
      <c r="AD8" s="462"/>
      <c r="AH8" s="462"/>
      <c r="AI8" s="462"/>
      <c r="AL8" s="4"/>
      <c r="AM8" s="462"/>
      <c r="AN8" s="462"/>
      <c r="AQ8" s="462"/>
      <c r="AR8" s="462"/>
      <c r="AU8" s="462"/>
      <c r="AV8" s="462"/>
    </row>
    <row r="9" spans="2:49" ht="13.5" thickBot="1" x14ac:dyDescent="0.25">
      <c r="B9" s="4" t="s">
        <v>32</v>
      </c>
      <c r="C9" s="51">
        <v>26</v>
      </c>
      <c r="D9" s="265"/>
      <c r="J9" s="4"/>
      <c r="M9" s="4"/>
      <c r="N9" s="4"/>
      <c r="Q9" s="4"/>
      <c r="R9" s="4"/>
      <c r="U9" s="4"/>
      <c r="V9" s="4"/>
      <c r="Y9" s="4"/>
      <c r="Z9" s="4"/>
      <c r="AC9" s="4"/>
      <c r="AD9" s="4"/>
      <c r="AH9" s="4"/>
      <c r="AI9" s="4"/>
      <c r="AL9" s="4"/>
      <c r="AM9" s="4"/>
      <c r="AN9" s="4"/>
      <c r="AQ9" s="4"/>
      <c r="AR9" s="4"/>
      <c r="AU9" s="4"/>
      <c r="AV9" s="4"/>
    </row>
    <row r="10" spans="2:49" s="264" customFormat="1" x14ac:dyDescent="0.2">
      <c r="B10" s="463" t="s">
        <v>35</v>
      </c>
      <c r="C10" s="464"/>
      <c r="D10" s="52" t="s">
        <v>316</v>
      </c>
      <c r="E10" s="52">
        <f>IF(OR(PRJ_START="&lt;dd-mmm-yy&gt;",NOT(ISNUMBER(PRJ_START))),"dd-mmm-yy",IF(WEEKDAY(PRJ_START)=2,PRJ_START,PRJ_START+9-WEEKDAY(PRJ_START)))</f>
        <v>42464</v>
      </c>
      <c r="F10" s="52">
        <f>IF(OR(PRJ_START="&lt;dd-mmm-yy&gt;",NOT(ISNUMBER(PRJ_START))),"dd-mmm-yy",E$10+7)</f>
        <v>42471</v>
      </c>
      <c r="G10" s="52">
        <f t="shared" ref="G10:AH10" si="0">IF(OR(PRJ_START="&lt;dd-mmm-yy&gt;",NOT(ISNUMBER(PRJ_START))),"dd-mmm-yy",F$10+7)</f>
        <v>42478</v>
      </c>
      <c r="H10" s="52">
        <f t="shared" si="0"/>
        <v>42485</v>
      </c>
      <c r="I10" s="52">
        <f t="shared" si="0"/>
        <v>42492</v>
      </c>
      <c r="J10" s="52">
        <f t="shared" si="0"/>
        <v>42499</v>
      </c>
      <c r="K10" s="52">
        <f t="shared" si="0"/>
        <v>42506</v>
      </c>
      <c r="L10" s="52">
        <f t="shared" si="0"/>
        <v>42513</v>
      </c>
      <c r="M10" s="52">
        <f t="shared" si="0"/>
        <v>42520</v>
      </c>
      <c r="N10" s="52">
        <f t="shared" si="0"/>
        <v>42527</v>
      </c>
      <c r="O10" s="52">
        <f t="shared" si="0"/>
        <v>42534</v>
      </c>
      <c r="P10" s="52">
        <f t="shared" si="0"/>
        <v>42541</v>
      </c>
      <c r="Q10" s="52">
        <f t="shared" si="0"/>
        <v>42548</v>
      </c>
      <c r="R10" s="52">
        <f t="shared" si="0"/>
        <v>42555</v>
      </c>
      <c r="S10" s="52">
        <f t="shared" si="0"/>
        <v>42562</v>
      </c>
      <c r="T10" s="52">
        <f t="shared" si="0"/>
        <v>42569</v>
      </c>
      <c r="U10" s="52">
        <f t="shared" si="0"/>
        <v>42576</v>
      </c>
      <c r="V10" s="52">
        <f t="shared" si="0"/>
        <v>42583</v>
      </c>
      <c r="W10" s="52">
        <f t="shared" si="0"/>
        <v>42590</v>
      </c>
      <c r="X10" s="52">
        <f t="shared" si="0"/>
        <v>42597</v>
      </c>
      <c r="Y10" s="52">
        <f t="shared" si="0"/>
        <v>42604</v>
      </c>
      <c r="Z10" s="52">
        <f t="shared" si="0"/>
        <v>42611</v>
      </c>
      <c r="AA10" s="52">
        <f t="shared" si="0"/>
        <v>42618</v>
      </c>
      <c r="AB10" s="52">
        <f t="shared" si="0"/>
        <v>42625</v>
      </c>
      <c r="AC10" s="52">
        <f t="shared" si="0"/>
        <v>42632</v>
      </c>
      <c r="AD10" s="52">
        <f t="shared" si="0"/>
        <v>42639</v>
      </c>
      <c r="AE10" s="52">
        <f t="shared" si="0"/>
        <v>42646</v>
      </c>
      <c r="AF10" s="52">
        <f t="shared" si="0"/>
        <v>42653</v>
      </c>
      <c r="AG10" s="52">
        <f t="shared" si="0"/>
        <v>42660</v>
      </c>
      <c r="AH10" s="52">
        <f t="shared" si="0"/>
        <v>42667</v>
      </c>
      <c r="AI10" s="52">
        <f>IF(OR(PRJ_START="&lt;dd-mmm-yy&gt;",NOT(ISNUMBER(PRJ_START))),"dd-mmm-yy",AH$10+7)</f>
        <v>42674</v>
      </c>
      <c r="AJ10" s="177"/>
      <c r="AK10" s="177"/>
      <c r="AL10" s="177"/>
    </row>
    <row r="11" spans="2:49" x14ac:dyDescent="0.2">
      <c r="B11" s="475" t="s">
        <v>432</v>
      </c>
      <c r="C11" s="475"/>
      <c r="D11" s="301" t="str">
        <f>IFERROR((SUMPRODUCT(ISNUMBER(P_CKDATE)*ISNUMBER(P_CKDATA)*P_INTYPE,P_CKDATA)+SUMPRODUCT(ISNUMBER(M_CKDATE)*ISNUMBER(M_CKDATA)*M_INTYPE,M_CKDATA)+SUMPRODUCT(ISNUMBER(W_CKDATE)*ISNUMBER(W_CKDATA)*W_INTYPE,W_CKDATA)+SUMPRODUCT(ISNUMBER(B_CKDATE)*ISNUMBER(B_CKDATA)*B_INTYPE,B_CKDATA)+SUMPRODUCT(ISNUMBER(C_CKDATE)*ISNUMBER(C_CKDATA)*C_INTYPE,C_CKDATA))/(SUMPRODUCT(ISNUMBER(P_CKDATE)*ISNUMBER(P_CKDATA)*P_INTYPE)+SUMPRODUCT(ISNUMBER(M_CKDATE)*ISNUMBER(M_CKDATA)*M_INTYPE)+SUMPRODUCT(ISNUMBER(W_CKDATE)*ISNUMBER(W_CKDATA)*W_INTYPE)+SUMPRODUCT(ISNUMBER(B_CKDATE)*ISNUMBER(B_CKDATA)*B_INTYPE)+SUMPRODUCT(ISNUMBER(C_CKDATE)*ISNUMBER(C_CKDATA)*C_INTYPE)),"")</f>
        <v/>
      </c>
      <c r="E11" s="301" t="str">
        <f>IF(ISNUMBER(E$10),IFERROR((SUMPRODUCT((P_CKDATE&gt;=E$10)*(P_CKDATE&lt;E$10+7)*ISNUMBER(P_CKDATA)*P_INTYPE,P_CKDATA)+SUMPRODUCT((M_CKDATE&gt;=E$10)*(M_CKDATE&lt;E$10+7)*ISNUMBER(M_CKDATA)*M_INTYPE,M_CKDATA)+SUMPRODUCT((W_CKDATE&gt;=E$10)*(W_CKDATE&lt;E$10+7)*ISNUMBER(W_CKDATA)*W_INTYPE,W_CKDATA)+SUMPRODUCT((B_CKDATE&gt;=E$10)*(B_CKDATE&lt;E$10+7)*ISNUMBER(B_CKDATA)*B_INTYPE,B_CKDATA)+SUMPRODUCT((C_CKDATE&gt;=E$10)*(C_CKDATE&lt;E$10+7)*ISNUMBER(C_CKDATA)*C_INTYPE,C_CKDATA))/(SUMPRODUCT((P_CKDATE&gt;=E$10)*(P_CKDATE&lt;E$10+7)*ISNUMBER(P_CKDATA)*P_INTYPE)+SUMPRODUCT((M_CKDATE&gt;=E$10)*(M_CKDATE&lt;E$10+7)*ISNUMBER(M_CKDATA)*M_INTYPE)+SUMPRODUCT((W_CKDATE&gt;=E$10)*(W_CKDATE&lt;E$10+7)*ISNUMBER(W_CKDATA)*W_INTYPE)+SUMPRODUCT((B_CKDATE&gt;=E$10)*(B_CKDATE&lt;E$10+7)*ISNUMBER(B_CKDATA)*B_INTYPE)+SUMPRODUCT((C_CKDATE&gt;=E$10)*(C_CKDATE&lt;E$10+7)*ISNUMBER(C_CKDATA)*C_INTYPE)),""),"")</f>
        <v/>
      </c>
      <c r="F11" s="301" t="str">
        <f>IF(ISNUMBER(F$10),IFERROR((SUMPRODUCT((P_CKDATE&gt;=F$10)*(P_CKDATE&lt;F$10+7)*ISNUMBER(P_CKDATA)*P_INTYPE,P_CKDATA)+SUMPRODUCT((M_CKDATE&gt;=F$10)*(M_CKDATE&lt;F$10+7)*ISNUMBER(M_CKDATA)*M_INTYPE,M_CKDATA)+SUMPRODUCT((W_CKDATE&gt;=F$10)*(W_CKDATE&lt;F$10+7)*ISNUMBER(W_CKDATA)*W_INTYPE,W_CKDATA)+SUMPRODUCT((B_CKDATE&gt;=F$10)*(B_CKDATE&lt;F$10+7)*ISNUMBER(B_CKDATA)*B_INTYPE,B_CKDATA)+SUMPRODUCT((C_CKDATE&gt;=F$10)*(C_CKDATE&lt;F$10+7)*ISNUMBER(C_CKDATA)*C_INTYPE,C_CKDATA))/(SUMPRODUCT((P_CKDATE&gt;=F$10)*(P_CKDATE&lt;F$10+7)*ISNUMBER(P_CKDATA)*P_INTYPE)+SUMPRODUCT((M_CKDATE&gt;=F$10)*(M_CKDATE&lt;F$10+7)*ISNUMBER(M_CKDATA)*M_INTYPE)+SUMPRODUCT((W_CKDATE&gt;=F$10)*(W_CKDATE&lt;F$10+7)*ISNUMBER(W_CKDATA)*W_INTYPE)+SUMPRODUCT((B_CKDATE&gt;=F$10)*(B_CKDATE&lt;F$10+7)*ISNUMBER(B_CKDATA)*B_INTYPE)+SUMPRODUCT((C_CKDATE&gt;=F$10)*(C_CKDATE&lt;F$10+7)*ISNUMBER(C_CKDATA)*C_INTYPE)),""),"")</f>
        <v/>
      </c>
      <c r="G11" s="301" t="str">
        <f>IF(ISNUMBER(G$10),IFERROR((SUMPRODUCT((P_CKDATE&gt;=G$10)*(P_CKDATE&lt;G$10+7)*ISNUMBER(P_CKDATA)*P_INTYPE,P_CKDATA)+SUMPRODUCT((M_CKDATE&gt;=G$10)*(M_CKDATE&lt;G$10+7)*ISNUMBER(M_CKDATA)*M_INTYPE,M_CKDATA)+SUMPRODUCT((W_CKDATE&gt;=G$10)*(W_CKDATE&lt;G$10+7)*ISNUMBER(W_CKDATA)*W_INTYPE,W_CKDATA)+SUMPRODUCT((B_CKDATE&gt;=G$10)*(B_CKDATE&lt;G$10+7)*ISNUMBER(B_CKDATA)*B_INTYPE,B_CKDATA)+SUMPRODUCT((C_CKDATE&gt;=G$10)*(C_CKDATE&lt;G$10+7)*ISNUMBER(C_CKDATA)*C_INTYPE,C_CKDATA))/(SUMPRODUCT((P_CKDATE&gt;=G$10)*(P_CKDATE&lt;G$10+7)*ISNUMBER(P_CKDATA)*P_INTYPE)+SUMPRODUCT((M_CKDATE&gt;=G$10)*(M_CKDATE&lt;G$10+7)*ISNUMBER(M_CKDATA)*M_INTYPE)+SUMPRODUCT((W_CKDATE&gt;=G$10)*(W_CKDATE&lt;G$10+7)*ISNUMBER(W_CKDATA)*W_INTYPE)+SUMPRODUCT((B_CKDATE&gt;=G$10)*(B_CKDATE&lt;G$10+7)*ISNUMBER(B_CKDATA)*B_INTYPE)+SUMPRODUCT((C_CKDATE&gt;=G$10)*(C_CKDATE&lt;G$10+7)*ISNUMBER(C_CKDATA)*C_INTYPE)),""),"")</f>
        <v/>
      </c>
      <c r="H11" s="301" t="str">
        <f>IF(ISNUMBER(H$10),IFERROR((SUMPRODUCT((P_CKDATE&gt;=H$10)*(P_CKDATE&lt;H$10+7)*ISNUMBER(P_CKDATA)*P_INTYPE,P_CKDATA)+SUMPRODUCT((M_CKDATE&gt;=H$10)*(M_CKDATE&lt;H$10+7)*ISNUMBER(M_CKDATA)*M_INTYPE,M_CKDATA)+SUMPRODUCT((W_CKDATE&gt;=H$10)*(W_CKDATE&lt;H$10+7)*ISNUMBER(W_CKDATA)*W_INTYPE,W_CKDATA)+SUMPRODUCT((B_CKDATE&gt;=H$10)*(B_CKDATE&lt;H$10+7)*ISNUMBER(B_CKDATA)*B_INTYPE,B_CKDATA)+SUMPRODUCT((C_CKDATE&gt;=H$10)*(C_CKDATE&lt;H$10+7)*ISNUMBER(C_CKDATA)*C_INTYPE,C_CKDATA))/(SUMPRODUCT((P_CKDATE&gt;=H$10)*(P_CKDATE&lt;H$10+7)*ISNUMBER(P_CKDATA)*P_INTYPE)+SUMPRODUCT((M_CKDATE&gt;=H$10)*(M_CKDATE&lt;H$10+7)*ISNUMBER(M_CKDATA)*M_INTYPE)+SUMPRODUCT((W_CKDATE&gt;=H$10)*(W_CKDATE&lt;H$10+7)*ISNUMBER(W_CKDATA)*W_INTYPE)+SUMPRODUCT((B_CKDATE&gt;=H$10)*(B_CKDATE&lt;H$10+7)*ISNUMBER(B_CKDATA)*B_INTYPE)+SUMPRODUCT((C_CKDATE&gt;=H$10)*(C_CKDATE&lt;H$10+7)*ISNUMBER(C_CKDATA)*C_INTYPE)),""),"")</f>
        <v/>
      </c>
      <c r="I11" s="301" t="str">
        <f>IF(ISNUMBER(I$10),IFERROR((SUMPRODUCT((P_CKDATE&gt;=I$10)*(P_CKDATE&lt;I$10+7)*ISNUMBER(P_CKDATA)*P_INTYPE,P_CKDATA)+SUMPRODUCT((M_CKDATE&gt;=I$10)*(M_CKDATE&lt;I$10+7)*ISNUMBER(M_CKDATA)*M_INTYPE,M_CKDATA)+SUMPRODUCT((W_CKDATE&gt;=I$10)*(W_CKDATE&lt;I$10+7)*ISNUMBER(W_CKDATA)*W_INTYPE,W_CKDATA)+SUMPRODUCT((B_CKDATE&gt;=I$10)*(B_CKDATE&lt;I$10+7)*ISNUMBER(B_CKDATA)*B_INTYPE,B_CKDATA)+SUMPRODUCT((C_CKDATE&gt;=I$10)*(C_CKDATE&lt;I$10+7)*ISNUMBER(C_CKDATA)*C_INTYPE,C_CKDATA))/(SUMPRODUCT((P_CKDATE&gt;=I$10)*(P_CKDATE&lt;I$10+7)*ISNUMBER(P_CKDATA)*P_INTYPE)+SUMPRODUCT((M_CKDATE&gt;=I$10)*(M_CKDATE&lt;I$10+7)*ISNUMBER(M_CKDATA)*M_INTYPE)+SUMPRODUCT((W_CKDATE&gt;=I$10)*(W_CKDATE&lt;I$10+7)*ISNUMBER(W_CKDATA)*W_INTYPE)+SUMPRODUCT((B_CKDATE&gt;=I$10)*(B_CKDATE&lt;I$10+7)*ISNUMBER(B_CKDATA)*B_INTYPE)+SUMPRODUCT((C_CKDATE&gt;=I$10)*(C_CKDATE&lt;I$10+7)*ISNUMBER(C_CKDATA)*C_INTYPE)),""),"")</f>
        <v/>
      </c>
      <c r="J11" s="301" t="str">
        <f>IF(ISNUMBER(J$10),IFERROR((SUMPRODUCT((P_CKDATE&gt;=J$10)*(P_CKDATE&lt;J$10+7)*ISNUMBER(P_CKDATA)*P_INTYPE,P_CKDATA)+SUMPRODUCT((M_CKDATE&gt;=J$10)*(M_CKDATE&lt;J$10+7)*ISNUMBER(M_CKDATA)*M_INTYPE,M_CKDATA)+SUMPRODUCT((W_CKDATE&gt;=J$10)*(W_CKDATE&lt;J$10+7)*ISNUMBER(W_CKDATA)*W_INTYPE,W_CKDATA)+SUMPRODUCT((B_CKDATE&gt;=J$10)*(B_CKDATE&lt;J$10+7)*ISNUMBER(B_CKDATA)*B_INTYPE,B_CKDATA)+SUMPRODUCT((C_CKDATE&gt;=J$10)*(C_CKDATE&lt;J$10+7)*ISNUMBER(C_CKDATA)*C_INTYPE,C_CKDATA))/(SUMPRODUCT((P_CKDATE&gt;=J$10)*(P_CKDATE&lt;J$10+7)*ISNUMBER(P_CKDATA)*P_INTYPE)+SUMPRODUCT((M_CKDATE&gt;=J$10)*(M_CKDATE&lt;J$10+7)*ISNUMBER(M_CKDATA)*M_INTYPE)+SUMPRODUCT((W_CKDATE&gt;=J$10)*(W_CKDATE&lt;J$10+7)*ISNUMBER(W_CKDATA)*W_INTYPE)+SUMPRODUCT((B_CKDATE&gt;=J$10)*(B_CKDATE&lt;J$10+7)*ISNUMBER(B_CKDATA)*B_INTYPE)+SUMPRODUCT((C_CKDATE&gt;=J$10)*(C_CKDATE&lt;J$10+7)*ISNUMBER(C_CKDATA)*C_INTYPE)),""),"")</f>
        <v/>
      </c>
      <c r="K11" s="301" t="str">
        <f>IF(ISNUMBER(K$10),IFERROR((SUMPRODUCT((P_CKDATE&gt;=K$10)*(P_CKDATE&lt;K$10+7)*ISNUMBER(P_CKDATA)*P_INTYPE,P_CKDATA)+SUMPRODUCT((M_CKDATE&gt;=K$10)*(M_CKDATE&lt;K$10+7)*ISNUMBER(M_CKDATA)*M_INTYPE,M_CKDATA)+SUMPRODUCT((W_CKDATE&gt;=K$10)*(W_CKDATE&lt;K$10+7)*ISNUMBER(W_CKDATA)*W_INTYPE,W_CKDATA)+SUMPRODUCT((B_CKDATE&gt;=K$10)*(B_CKDATE&lt;K$10+7)*ISNUMBER(B_CKDATA)*B_INTYPE,B_CKDATA)+SUMPRODUCT((C_CKDATE&gt;=K$10)*(C_CKDATE&lt;K$10+7)*ISNUMBER(C_CKDATA)*C_INTYPE,C_CKDATA))/(SUMPRODUCT((P_CKDATE&gt;=K$10)*(P_CKDATE&lt;K$10+7)*ISNUMBER(P_CKDATA)*P_INTYPE)+SUMPRODUCT((M_CKDATE&gt;=K$10)*(M_CKDATE&lt;K$10+7)*ISNUMBER(M_CKDATA)*M_INTYPE)+SUMPRODUCT((W_CKDATE&gt;=K$10)*(W_CKDATE&lt;K$10+7)*ISNUMBER(W_CKDATA)*W_INTYPE)+SUMPRODUCT((B_CKDATE&gt;=K$10)*(B_CKDATE&lt;K$10+7)*ISNUMBER(B_CKDATA)*B_INTYPE)+SUMPRODUCT((C_CKDATE&gt;=K$10)*(C_CKDATE&lt;K$10+7)*ISNUMBER(C_CKDATA)*C_INTYPE)),""),"")</f>
        <v/>
      </c>
      <c r="L11" s="301" t="str">
        <f>IF(ISNUMBER(L$10),IFERROR((SUMPRODUCT((P_CKDATE&gt;=L$10)*(P_CKDATE&lt;L$10+7)*ISNUMBER(P_CKDATA)*P_INTYPE,P_CKDATA)+SUMPRODUCT((M_CKDATE&gt;=L$10)*(M_CKDATE&lt;L$10+7)*ISNUMBER(M_CKDATA)*M_INTYPE,M_CKDATA)+SUMPRODUCT((W_CKDATE&gt;=L$10)*(W_CKDATE&lt;L$10+7)*ISNUMBER(W_CKDATA)*W_INTYPE,W_CKDATA)+SUMPRODUCT((B_CKDATE&gt;=L$10)*(B_CKDATE&lt;L$10+7)*ISNUMBER(B_CKDATA)*B_INTYPE,B_CKDATA)+SUMPRODUCT((C_CKDATE&gt;=L$10)*(C_CKDATE&lt;L$10+7)*ISNUMBER(C_CKDATA)*C_INTYPE,C_CKDATA))/(SUMPRODUCT((P_CKDATE&gt;=L$10)*(P_CKDATE&lt;L$10+7)*ISNUMBER(P_CKDATA)*P_INTYPE)+SUMPRODUCT((M_CKDATE&gt;=L$10)*(M_CKDATE&lt;L$10+7)*ISNUMBER(M_CKDATA)*M_INTYPE)+SUMPRODUCT((W_CKDATE&gt;=L$10)*(W_CKDATE&lt;L$10+7)*ISNUMBER(W_CKDATA)*W_INTYPE)+SUMPRODUCT((B_CKDATE&gt;=L$10)*(B_CKDATE&lt;L$10+7)*ISNUMBER(B_CKDATA)*B_INTYPE)+SUMPRODUCT((C_CKDATE&gt;=L$10)*(C_CKDATE&lt;L$10+7)*ISNUMBER(C_CKDATA)*C_INTYPE)),""),"")</f>
        <v/>
      </c>
      <c r="M11" s="301" t="str">
        <f>IF(ISNUMBER(M$10),IFERROR((SUMPRODUCT((P_CKDATE&gt;=M$10)*(P_CKDATE&lt;M$10+7)*ISNUMBER(P_CKDATA)*P_INTYPE,P_CKDATA)+SUMPRODUCT((M_CKDATE&gt;=M$10)*(M_CKDATE&lt;M$10+7)*ISNUMBER(M_CKDATA)*M_INTYPE,M_CKDATA)+SUMPRODUCT((W_CKDATE&gt;=M$10)*(W_CKDATE&lt;M$10+7)*ISNUMBER(W_CKDATA)*W_INTYPE,W_CKDATA)+SUMPRODUCT((B_CKDATE&gt;=M$10)*(B_CKDATE&lt;M$10+7)*ISNUMBER(B_CKDATA)*B_INTYPE,B_CKDATA)+SUMPRODUCT((C_CKDATE&gt;=M$10)*(C_CKDATE&lt;M$10+7)*ISNUMBER(C_CKDATA)*C_INTYPE,C_CKDATA))/(SUMPRODUCT((P_CKDATE&gt;=M$10)*(P_CKDATE&lt;M$10+7)*ISNUMBER(P_CKDATA)*P_INTYPE)+SUMPRODUCT((M_CKDATE&gt;=M$10)*(M_CKDATE&lt;M$10+7)*ISNUMBER(M_CKDATA)*M_INTYPE)+SUMPRODUCT((W_CKDATE&gt;=M$10)*(W_CKDATE&lt;M$10+7)*ISNUMBER(W_CKDATA)*W_INTYPE)+SUMPRODUCT((B_CKDATE&gt;=M$10)*(B_CKDATE&lt;M$10+7)*ISNUMBER(B_CKDATA)*B_INTYPE)+SUMPRODUCT((C_CKDATE&gt;=M$10)*(C_CKDATE&lt;M$10+7)*ISNUMBER(C_CKDATA)*C_INTYPE)),""),"")</f>
        <v/>
      </c>
      <c r="N11" s="301" t="str">
        <f>IF(ISNUMBER(N$10),IFERROR((SUMPRODUCT((P_CKDATE&gt;=N$10)*(P_CKDATE&lt;N$10+7)*ISNUMBER(P_CKDATA)*P_INTYPE,P_CKDATA)+SUMPRODUCT((M_CKDATE&gt;=N$10)*(M_CKDATE&lt;N$10+7)*ISNUMBER(M_CKDATA)*M_INTYPE,M_CKDATA)+SUMPRODUCT((W_CKDATE&gt;=N$10)*(W_CKDATE&lt;N$10+7)*ISNUMBER(W_CKDATA)*W_INTYPE,W_CKDATA)+SUMPRODUCT((B_CKDATE&gt;=N$10)*(B_CKDATE&lt;N$10+7)*ISNUMBER(B_CKDATA)*B_INTYPE,B_CKDATA)+SUMPRODUCT((C_CKDATE&gt;=N$10)*(C_CKDATE&lt;N$10+7)*ISNUMBER(C_CKDATA)*C_INTYPE,C_CKDATA))/(SUMPRODUCT((P_CKDATE&gt;=N$10)*(P_CKDATE&lt;N$10+7)*ISNUMBER(P_CKDATA)*P_INTYPE)+SUMPRODUCT((M_CKDATE&gt;=N$10)*(M_CKDATE&lt;N$10+7)*ISNUMBER(M_CKDATA)*M_INTYPE)+SUMPRODUCT((W_CKDATE&gt;=N$10)*(W_CKDATE&lt;N$10+7)*ISNUMBER(W_CKDATA)*W_INTYPE)+SUMPRODUCT((B_CKDATE&gt;=N$10)*(B_CKDATE&lt;N$10+7)*ISNUMBER(B_CKDATA)*B_INTYPE)+SUMPRODUCT((C_CKDATE&gt;=N$10)*(C_CKDATE&lt;N$10+7)*ISNUMBER(C_CKDATA)*C_INTYPE)),""),"")</f>
        <v/>
      </c>
      <c r="O11" s="301" t="str">
        <f>IF(ISNUMBER(O$10),IFERROR((SUMPRODUCT((P_CKDATE&gt;=O$10)*(P_CKDATE&lt;O$10+7)*ISNUMBER(P_CKDATA)*P_INTYPE,P_CKDATA)+SUMPRODUCT((M_CKDATE&gt;=O$10)*(M_CKDATE&lt;O$10+7)*ISNUMBER(M_CKDATA)*M_INTYPE,M_CKDATA)+SUMPRODUCT((W_CKDATE&gt;=O$10)*(W_CKDATE&lt;O$10+7)*ISNUMBER(W_CKDATA)*W_INTYPE,W_CKDATA)+SUMPRODUCT((B_CKDATE&gt;=O$10)*(B_CKDATE&lt;O$10+7)*ISNUMBER(B_CKDATA)*B_INTYPE,B_CKDATA)+SUMPRODUCT((C_CKDATE&gt;=O$10)*(C_CKDATE&lt;O$10+7)*ISNUMBER(C_CKDATA)*C_INTYPE,C_CKDATA))/(SUMPRODUCT((P_CKDATE&gt;=O$10)*(P_CKDATE&lt;O$10+7)*ISNUMBER(P_CKDATA)*P_INTYPE)+SUMPRODUCT((M_CKDATE&gt;=O$10)*(M_CKDATE&lt;O$10+7)*ISNUMBER(M_CKDATA)*M_INTYPE)+SUMPRODUCT((W_CKDATE&gt;=O$10)*(W_CKDATE&lt;O$10+7)*ISNUMBER(W_CKDATA)*W_INTYPE)+SUMPRODUCT((B_CKDATE&gt;=O$10)*(B_CKDATE&lt;O$10+7)*ISNUMBER(B_CKDATA)*B_INTYPE)+SUMPRODUCT((C_CKDATE&gt;=O$10)*(C_CKDATE&lt;O$10+7)*ISNUMBER(C_CKDATA)*C_INTYPE)),""),"")</f>
        <v/>
      </c>
      <c r="P11" s="301" t="str">
        <f>IF(ISNUMBER(P$10),IFERROR((SUMPRODUCT((P_CKDATE&gt;=P$10)*(P_CKDATE&lt;P$10+7)*ISNUMBER(P_CKDATA)*P_INTYPE,P_CKDATA)+SUMPRODUCT((M_CKDATE&gt;=P$10)*(M_CKDATE&lt;P$10+7)*ISNUMBER(M_CKDATA)*M_INTYPE,M_CKDATA)+SUMPRODUCT((W_CKDATE&gt;=P$10)*(W_CKDATE&lt;P$10+7)*ISNUMBER(W_CKDATA)*W_INTYPE,W_CKDATA)+SUMPRODUCT((B_CKDATE&gt;=P$10)*(B_CKDATE&lt;P$10+7)*ISNUMBER(B_CKDATA)*B_INTYPE,B_CKDATA)+SUMPRODUCT((C_CKDATE&gt;=P$10)*(C_CKDATE&lt;P$10+7)*ISNUMBER(C_CKDATA)*C_INTYPE,C_CKDATA))/(SUMPRODUCT((P_CKDATE&gt;=P$10)*(P_CKDATE&lt;P$10+7)*ISNUMBER(P_CKDATA)*P_INTYPE)+SUMPRODUCT((M_CKDATE&gt;=P$10)*(M_CKDATE&lt;P$10+7)*ISNUMBER(M_CKDATA)*M_INTYPE)+SUMPRODUCT((W_CKDATE&gt;=P$10)*(W_CKDATE&lt;P$10+7)*ISNUMBER(W_CKDATA)*W_INTYPE)+SUMPRODUCT((B_CKDATE&gt;=P$10)*(B_CKDATE&lt;P$10+7)*ISNUMBER(B_CKDATA)*B_INTYPE)+SUMPRODUCT((C_CKDATE&gt;=P$10)*(C_CKDATE&lt;P$10+7)*ISNUMBER(C_CKDATA)*C_INTYPE)),""),"")</f>
        <v/>
      </c>
      <c r="Q11" s="301" t="str">
        <f>IF(ISNUMBER(Q$10),IFERROR((SUMPRODUCT((P_CKDATE&gt;=Q$10)*(P_CKDATE&lt;Q$10+7)*ISNUMBER(P_CKDATA)*P_INTYPE,P_CKDATA)+SUMPRODUCT((M_CKDATE&gt;=Q$10)*(M_CKDATE&lt;Q$10+7)*ISNUMBER(M_CKDATA)*M_INTYPE,M_CKDATA)+SUMPRODUCT((W_CKDATE&gt;=Q$10)*(W_CKDATE&lt;Q$10+7)*ISNUMBER(W_CKDATA)*W_INTYPE,W_CKDATA)+SUMPRODUCT((B_CKDATE&gt;=Q$10)*(B_CKDATE&lt;Q$10+7)*ISNUMBER(B_CKDATA)*B_INTYPE,B_CKDATA)+SUMPRODUCT((C_CKDATE&gt;=Q$10)*(C_CKDATE&lt;Q$10+7)*ISNUMBER(C_CKDATA)*C_INTYPE,C_CKDATA))/(SUMPRODUCT((P_CKDATE&gt;=Q$10)*(P_CKDATE&lt;Q$10+7)*ISNUMBER(P_CKDATA)*P_INTYPE)+SUMPRODUCT((M_CKDATE&gt;=Q$10)*(M_CKDATE&lt;Q$10+7)*ISNUMBER(M_CKDATA)*M_INTYPE)+SUMPRODUCT((W_CKDATE&gt;=Q$10)*(W_CKDATE&lt;Q$10+7)*ISNUMBER(W_CKDATA)*W_INTYPE)+SUMPRODUCT((B_CKDATE&gt;=Q$10)*(B_CKDATE&lt;Q$10+7)*ISNUMBER(B_CKDATA)*B_INTYPE)+SUMPRODUCT((C_CKDATE&gt;=Q$10)*(C_CKDATE&lt;Q$10+7)*ISNUMBER(C_CKDATA)*C_INTYPE)),""),"")</f>
        <v/>
      </c>
      <c r="R11" s="301" t="str">
        <f>IF(ISNUMBER(R$10),IFERROR((SUMPRODUCT((P_CKDATE&gt;=R$10)*(P_CKDATE&lt;R$10+7)*ISNUMBER(P_CKDATA)*P_INTYPE,P_CKDATA)+SUMPRODUCT((M_CKDATE&gt;=R$10)*(M_CKDATE&lt;R$10+7)*ISNUMBER(M_CKDATA)*M_INTYPE,M_CKDATA)+SUMPRODUCT((W_CKDATE&gt;=R$10)*(W_CKDATE&lt;R$10+7)*ISNUMBER(W_CKDATA)*W_INTYPE,W_CKDATA)+SUMPRODUCT((B_CKDATE&gt;=R$10)*(B_CKDATE&lt;R$10+7)*ISNUMBER(B_CKDATA)*B_INTYPE,B_CKDATA)+SUMPRODUCT((C_CKDATE&gt;=R$10)*(C_CKDATE&lt;R$10+7)*ISNUMBER(C_CKDATA)*C_INTYPE,C_CKDATA))/(SUMPRODUCT((P_CKDATE&gt;=R$10)*(P_CKDATE&lt;R$10+7)*ISNUMBER(P_CKDATA)*P_INTYPE)+SUMPRODUCT((M_CKDATE&gt;=R$10)*(M_CKDATE&lt;R$10+7)*ISNUMBER(M_CKDATA)*M_INTYPE)+SUMPRODUCT((W_CKDATE&gt;=R$10)*(W_CKDATE&lt;R$10+7)*ISNUMBER(W_CKDATA)*W_INTYPE)+SUMPRODUCT((B_CKDATE&gt;=R$10)*(B_CKDATE&lt;R$10+7)*ISNUMBER(B_CKDATA)*B_INTYPE)+SUMPRODUCT((C_CKDATE&gt;=R$10)*(C_CKDATE&lt;R$10+7)*ISNUMBER(C_CKDATA)*C_INTYPE)),""),"")</f>
        <v/>
      </c>
      <c r="S11" s="301" t="str">
        <f>IF(ISNUMBER(S$10),IFERROR((SUMPRODUCT((P_CKDATE&gt;=S$10)*(P_CKDATE&lt;S$10+7)*ISNUMBER(P_CKDATA)*P_INTYPE,P_CKDATA)+SUMPRODUCT((M_CKDATE&gt;=S$10)*(M_CKDATE&lt;S$10+7)*ISNUMBER(M_CKDATA)*M_INTYPE,M_CKDATA)+SUMPRODUCT((W_CKDATE&gt;=S$10)*(W_CKDATE&lt;S$10+7)*ISNUMBER(W_CKDATA)*W_INTYPE,W_CKDATA)+SUMPRODUCT((B_CKDATE&gt;=S$10)*(B_CKDATE&lt;S$10+7)*ISNUMBER(B_CKDATA)*B_INTYPE,B_CKDATA)+SUMPRODUCT((C_CKDATE&gt;=S$10)*(C_CKDATE&lt;S$10+7)*ISNUMBER(C_CKDATA)*C_INTYPE,C_CKDATA))/(SUMPRODUCT((P_CKDATE&gt;=S$10)*(P_CKDATE&lt;S$10+7)*ISNUMBER(P_CKDATA)*P_INTYPE)+SUMPRODUCT((M_CKDATE&gt;=S$10)*(M_CKDATE&lt;S$10+7)*ISNUMBER(M_CKDATA)*M_INTYPE)+SUMPRODUCT((W_CKDATE&gt;=S$10)*(W_CKDATE&lt;S$10+7)*ISNUMBER(W_CKDATA)*W_INTYPE)+SUMPRODUCT((B_CKDATE&gt;=S$10)*(B_CKDATE&lt;S$10+7)*ISNUMBER(B_CKDATA)*B_INTYPE)+SUMPRODUCT((C_CKDATE&gt;=S$10)*(C_CKDATE&lt;S$10+7)*ISNUMBER(C_CKDATA)*C_INTYPE)),""),"")</f>
        <v/>
      </c>
      <c r="T11" s="301" t="str">
        <f>IF(ISNUMBER(T$10),IFERROR((SUMPRODUCT((P_CKDATE&gt;=T$10)*(P_CKDATE&lt;T$10+7)*ISNUMBER(P_CKDATA)*P_INTYPE,P_CKDATA)+SUMPRODUCT((M_CKDATE&gt;=T$10)*(M_CKDATE&lt;T$10+7)*ISNUMBER(M_CKDATA)*M_INTYPE,M_CKDATA)+SUMPRODUCT((W_CKDATE&gt;=T$10)*(W_CKDATE&lt;T$10+7)*ISNUMBER(W_CKDATA)*W_INTYPE,W_CKDATA)+SUMPRODUCT((B_CKDATE&gt;=T$10)*(B_CKDATE&lt;T$10+7)*ISNUMBER(B_CKDATA)*B_INTYPE,B_CKDATA)+SUMPRODUCT((C_CKDATE&gt;=T$10)*(C_CKDATE&lt;T$10+7)*ISNUMBER(C_CKDATA)*C_INTYPE,C_CKDATA))/(SUMPRODUCT((P_CKDATE&gt;=T$10)*(P_CKDATE&lt;T$10+7)*ISNUMBER(P_CKDATA)*P_INTYPE)+SUMPRODUCT((M_CKDATE&gt;=T$10)*(M_CKDATE&lt;T$10+7)*ISNUMBER(M_CKDATA)*M_INTYPE)+SUMPRODUCT((W_CKDATE&gt;=T$10)*(W_CKDATE&lt;T$10+7)*ISNUMBER(W_CKDATA)*W_INTYPE)+SUMPRODUCT((B_CKDATE&gt;=T$10)*(B_CKDATE&lt;T$10+7)*ISNUMBER(B_CKDATA)*B_INTYPE)+SUMPRODUCT((C_CKDATE&gt;=T$10)*(C_CKDATE&lt;T$10+7)*ISNUMBER(C_CKDATA)*C_INTYPE)),""),"")</f>
        <v/>
      </c>
      <c r="U11" s="301" t="str">
        <f>IF(ISNUMBER(U$10),IFERROR((SUMPRODUCT((P_CKDATE&gt;=U$10)*(P_CKDATE&lt;U$10+7)*ISNUMBER(P_CKDATA)*P_INTYPE,P_CKDATA)+SUMPRODUCT((M_CKDATE&gt;=U$10)*(M_CKDATE&lt;U$10+7)*ISNUMBER(M_CKDATA)*M_INTYPE,M_CKDATA)+SUMPRODUCT((W_CKDATE&gt;=U$10)*(W_CKDATE&lt;U$10+7)*ISNUMBER(W_CKDATA)*W_INTYPE,W_CKDATA)+SUMPRODUCT((B_CKDATE&gt;=U$10)*(B_CKDATE&lt;U$10+7)*ISNUMBER(B_CKDATA)*B_INTYPE,B_CKDATA)+SUMPRODUCT((C_CKDATE&gt;=U$10)*(C_CKDATE&lt;U$10+7)*ISNUMBER(C_CKDATA)*C_INTYPE,C_CKDATA))/(SUMPRODUCT((P_CKDATE&gt;=U$10)*(P_CKDATE&lt;U$10+7)*ISNUMBER(P_CKDATA)*P_INTYPE)+SUMPRODUCT((M_CKDATE&gt;=U$10)*(M_CKDATE&lt;U$10+7)*ISNUMBER(M_CKDATA)*M_INTYPE)+SUMPRODUCT((W_CKDATE&gt;=U$10)*(W_CKDATE&lt;U$10+7)*ISNUMBER(W_CKDATA)*W_INTYPE)+SUMPRODUCT((B_CKDATE&gt;=U$10)*(B_CKDATE&lt;U$10+7)*ISNUMBER(B_CKDATA)*B_INTYPE)+SUMPRODUCT((C_CKDATE&gt;=U$10)*(C_CKDATE&lt;U$10+7)*ISNUMBER(C_CKDATA)*C_INTYPE)),""),"")</f>
        <v/>
      </c>
      <c r="V11" s="301" t="str">
        <f>IF(ISNUMBER(V$10),IFERROR((SUMPRODUCT((P_CKDATE&gt;=V$10)*(P_CKDATE&lt;V$10+7)*ISNUMBER(P_CKDATA)*P_INTYPE,P_CKDATA)+SUMPRODUCT((M_CKDATE&gt;=V$10)*(M_CKDATE&lt;V$10+7)*ISNUMBER(M_CKDATA)*M_INTYPE,M_CKDATA)+SUMPRODUCT((W_CKDATE&gt;=V$10)*(W_CKDATE&lt;V$10+7)*ISNUMBER(W_CKDATA)*W_INTYPE,W_CKDATA)+SUMPRODUCT((B_CKDATE&gt;=V$10)*(B_CKDATE&lt;V$10+7)*ISNUMBER(B_CKDATA)*B_INTYPE,B_CKDATA)+SUMPRODUCT((C_CKDATE&gt;=V$10)*(C_CKDATE&lt;V$10+7)*ISNUMBER(C_CKDATA)*C_INTYPE,C_CKDATA))/(SUMPRODUCT((P_CKDATE&gt;=V$10)*(P_CKDATE&lt;V$10+7)*ISNUMBER(P_CKDATA)*P_INTYPE)+SUMPRODUCT((M_CKDATE&gt;=V$10)*(M_CKDATE&lt;V$10+7)*ISNUMBER(M_CKDATA)*M_INTYPE)+SUMPRODUCT((W_CKDATE&gt;=V$10)*(W_CKDATE&lt;V$10+7)*ISNUMBER(W_CKDATA)*W_INTYPE)+SUMPRODUCT((B_CKDATE&gt;=V$10)*(B_CKDATE&lt;V$10+7)*ISNUMBER(B_CKDATA)*B_INTYPE)+SUMPRODUCT((C_CKDATE&gt;=V$10)*(C_CKDATE&lt;V$10+7)*ISNUMBER(C_CKDATA)*C_INTYPE)),""),"")</f>
        <v/>
      </c>
      <c r="W11" s="301" t="str">
        <f>IF(ISNUMBER(W$10),IFERROR((SUMPRODUCT((P_CKDATE&gt;=W$10)*(P_CKDATE&lt;W$10+7)*ISNUMBER(P_CKDATA)*P_INTYPE,P_CKDATA)+SUMPRODUCT((M_CKDATE&gt;=W$10)*(M_CKDATE&lt;W$10+7)*ISNUMBER(M_CKDATA)*M_INTYPE,M_CKDATA)+SUMPRODUCT((W_CKDATE&gt;=W$10)*(W_CKDATE&lt;W$10+7)*ISNUMBER(W_CKDATA)*W_INTYPE,W_CKDATA)+SUMPRODUCT((B_CKDATE&gt;=W$10)*(B_CKDATE&lt;W$10+7)*ISNUMBER(B_CKDATA)*B_INTYPE,B_CKDATA)+SUMPRODUCT((C_CKDATE&gt;=W$10)*(C_CKDATE&lt;W$10+7)*ISNUMBER(C_CKDATA)*C_INTYPE,C_CKDATA))/(SUMPRODUCT((P_CKDATE&gt;=W$10)*(P_CKDATE&lt;W$10+7)*ISNUMBER(P_CKDATA)*P_INTYPE)+SUMPRODUCT((M_CKDATE&gt;=W$10)*(M_CKDATE&lt;W$10+7)*ISNUMBER(M_CKDATA)*M_INTYPE)+SUMPRODUCT((W_CKDATE&gt;=W$10)*(W_CKDATE&lt;W$10+7)*ISNUMBER(W_CKDATA)*W_INTYPE)+SUMPRODUCT((B_CKDATE&gt;=W$10)*(B_CKDATE&lt;W$10+7)*ISNUMBER(B_CKDATA)*B_INTYPE)+SUMPRODUCT((C_CKDATE&gt;=W$10)*(C_CKDATE&lt;W$10+7)*ISNUMBER(C_CKDATA)*C_INTYPE)),""),"")</f>
        <v/>
      </c>
      <c r="X11" s="301" t="str">
        <f>IF(ISNUMBER(X$10),IFERROR((SUMPRODUCT((P_CKDATE&gt;=X$10)*(P_CKDATE&lt;X$10+7)*ISNUMBER(P_CKDATA)*P_INTYPE,P_CKDATA)+SUMPRODUCT((M_CKDATE&gt;=X$10)*(M_CKDATE&lt;X$10+7)*ISNUMBER(M_CKDATA)*M_INTYPE,M_CKDATA)+SUMPRODUCT((W_CKDATE&gt;=X$10)*(W_CKDATE&lt;X$10+7)*ISNUMBER(W_CKDATA)*W_INTYPE,W_CKDATA)+SUMPRODUCT((B_CKDATE&gt;=X$10)*(B_CKDATE&lt;X$10+7)*ISNUMBER(B_CKDATA)*B_INTYPE,B_CKDATA)+SUMPRODUCT((C_CKDATE&gt;=X$10)*(C_CKDATE&lt;X$10+7)*ISNUMBER(C_CKDATA)*C_INTYPE,C_CKDATA))/(SUMPRODUCT((P_CKDATE&gt;=X$10)*(P_CKDATE&lt;X$10+7)*ISNUMBER(P_CKDATA)*P_INTYPE)+SUMPRODUCT((M_CKDATE&gt;=X$10)*(M_CKDATE&lt;X$10+7)*ISNUMBER(M_CKDATA)*M_INTYPE)+SUMPRODUCT((W_CKDATE&gt;=X$10)*(W_CKDATE&lt;X$10+7)*ISNUMBER(W_CKDATA)*W_INTYPE)+SUMPRODUCT((B_CKDATE&gt;=X$10)*(B_CKDATE&lt;X$10+7)*ISNUMBER(B_CKDATA)*B_INTYPE)+SUMPRODUCT((C_CKDATE&gt;=X$10)*(C_CKDATE&lt;X$10+7)*ISNUMBER(C_CKDATA)*C_INTYPE)),""),"")</f>
        <v/>
      </c>
      <c r="Y11" s="301" t="str">
        <f>IF(ISNUMBER(Y$10),IFERROR((SUMPRODUCT((P_CKDATE&gt;=Y$10)*(P_CKDATE&lt;Y$10+7)*ISNUMBER(P_CKDATA)*P_INTYPE,P_CKDATA)+SUMPRODUCT((M_CKDATE&gt;=Y$10)*(M_CKDATE&lt;Y$10+7)*ISNUMBER(M_CKDATA)*M_INTYPE,M_CKDATA)+SUMPRODUCT((W_CKDATE&gt;=Y$10)*(W_CKDATE&lt;Y$10+7)*ISNUMBER(W_CKDATA)*W_INTYPE,W_CKDATA)+SUMPRODUCT((B_CKDATE&gt;=Y$10)*(B_CKDATE&lt;Y$10+7)*ISNUMBER(B_CKDATA)*B_INTYPE,B_CKDATA)+SUMPRODUCT((C_CKDATE&gt;=Y$10)*(C_CKDATE&lt;Y$10+7)*ISNUMBER(C_CKDATA)*C_INTYPE,C_CKDATA))/(SUMPRODUCT((P_CKDATE&gt;=Y$10)*(P_CKDATE&lt;Y$10+7)*ISNUMBER(P_CKDATA)*P_INTYPE)+SUMPRODUCT((M_CKDATE&gt;=Y$10)*(M_CKDATE&lt;Y$10+7)*ISNUMBER(M_CKDATA)*M_INTYPE)+SUMPRODUCT((W_CKDATE&gt;=Y$10)*(W_CKDATE&lt;Y$10+7)*ISNUMBER(W_CKDATA)*W_INTYPE)+SUMPRODUCT((B_CKDATE&gt;=Y$10)*(B_CKDATE&lt;Y$10+7)*ISNUMBER(B_CKDATA)*B_INTYPE)+SUMPRODUCT((C_CKDATE&gt;=Y$10)*(C_CKDATE&lt;Y$10+7)*ISNUMBER(C_CKDATA)*C_INTYPE)),""),"")</f>
        <v/>
      </c>
      <c r="Z11" s="301" t="str">
        <f>IF(ISNUMBER(Z$10),IFERROR((SUMPRODUCT((P_CKDATE&gt;=Z$10)*(P_CKDATE&lt;Z$10+7)*ISNUMBER(P_CKDATA)*P_INTYPE,P_CKDATA)+SUMPRODUCT((M_CKDATE&gt;=Z$10)*(M_CKDATE&lt;Z$10+7)*ISNUMBER(M_CKDATA)*M_INTYPE,M_CKDATA)+SUMPRODUCT((W_CKDATE&gt;=Z$10)*(W_CKDATE&lt;Z$10+7)*ISNUMBER(W_CKDATA)*W_INTYPE,W_CKDATA)+SUMPRODUCT((B_CKDATE&gt;=Z$10)*(B_CKDATE&lt;Z$10+7)*ISNUMBER(B_CKDATA)*B_INTYPE,B_CKDATA)+SUMPRODUCT((C_CKDATE&gt;=Z$10)*(C_CKDATE&lt;Z$10+7)*ISNUMBER(C_CKDATA)*C_INTYPE,C_CKDATA))/(SUMPRODUCT((P_CKDATE&gt;=Z$10)*(P_CKDATE&lt;Z$10+7)*ISNUMBER(P_CKDATA)*P_INTYPE)+SUMPRODUCT((M_CKDATE&gt;=Z$10)*(M_CKDATE&lt;Z$10+7)*ISNUMBER(M_CKDATA)*M_INTYPE)+SUMPRODUCT((W_CKDATE&gt;=Z$10)*(W_CKDATE&lt;Z$10+7)*ISNUMBER(W_CKDATA)*W_INTYPE)+SUMPRODUCT((B_CKDATE&gt;=Z$10)*(B_CKDATE&lt;Z$10+7)*ISNUMBER(B_CKDATA)*B_INTYPE)+SUMPRODUCT((C_CKDATE&gt;=Z$10)*(C_CKDATE&lt;Z$10+7)*ISNUMBER(C_CKDATA)*C_INTYPE)),""),"")</f>
        <v/>
      </c>
      <c r="AA11" s="301" t="str">
        <f>IF(ISNUMBER(AA$10),IFERROR((SUMPRODUCT((P_CKDATE&gt;=AA$10)*(P_CKDATE&lt;AA$10+7)*ISNUMBER(P_CKDATA)*P_INTYPE,P_CKDATA)+SUMPRODUCT((M_CKDATE&gt;=AA$10)*(M_CKDATE&lt;AA$10+7)*ISNUMBER(M_CKDATA)*M_INTYPE,M_CKDATA)+SUMPRODUCT((W_CKDATE&gt;=AA$10)*(W_CKDATE&lt;AA$10+7)*ISNUMBER(W_CKDATA)*W_INTYPE,W_CKDATA)+SUMPRODUCT((B_CKDATE&gt;=AA$10)*(B_CKDATE&lt;AA$10+7)*ISNUMBER(B_CKDATA)*B_INTYPE,B_CKDATA)+SUMPRODUCT((C_CKDATE&gt;=AA$10)*(C_CKDATE&lt;AA$10+7)*ISNUMBER(C_CKDATA)*C_INTYPE,C_CKDATA))/(SUMPRODUCT((P_CKDATE&gt;=AA$10)*(P_CKDATE&lt;AA$10+7)*ISNUMBER(P_CKDATA)*P_INTYPE)+SUMPRODUCT((M_CKDATE&gt;=AA$10)*(M_CKDATE&lt;AA$10+7)*ISNUMBER(M_CKDATA)*M_INTYPE)+SUMPRODUCT((W_CKDATE&gt;=AA$10)*(W_CKDATE&lt;AA$10+7)*ISNUMBER(W_CKDATA)*W_INTYPE)+SUMPRODUCT((B_CKDATE&gt;=AA$10)*(B_CKDATE&lt;AA$10+7)*ISNUMBER(B_CKDATA)*B_INTYPE)+SUMPRODUCT((C_CKDATE&gt;=AA$10)*(C_CKDATE&lt;AA$10+7)*ISNUMBER(C_CKDATA)*C_INTYPE)),""),"")</f>
        <v/>
      </c>
      <c r="AB11" s="301" t="str">
        <f>IF(ISNUMBER(AB$10),IFERROR((SUMPRODUCT((P_CKDATE&gt;=AB$10)*(P_CKDATE&lt;AB$10+7)*ISNUMBER(P_CKDATA)*P_INTYPE,P_CKDATA)+SUMPRODUCT((M_CKDATE&gt;=AB$10)*(M_CKDATE&lt;AB$10+7)*ISNUMBER(M_CKDATA)*M_INTYPE,M_CKDATA)+SUMPRODUCT((W_CKDATE&gt;=AB$10)*(W_CKDATE&lt;AB$10+7)*ISNUMBER(W_CKDATA)*W_INTYPE,W_CKDATA)+SUMPRODUCT((B_CKDATE&gt;=AB$10)*(B_CKDATE&lt;AB$10+7)*ISNUMBER(B_CKDATA)*B_INTYPE,B_CKDATA)+SUMPRODUCT((C_CKDATE&gt;=AB$10)*(C_CKDATE&lt;AB$10+7)*ISNUMBER(C_CKDATA)*C_INTYPE,C_CKDATA))/(SUMPRODUCT((P_CKDATE&gt;=AB$10)*(P_CKDATE&lt;AB$10+7)*ISNUMBER(P_CKDATA)*P_INTYPE)+SUMPRODUCT((M_CKDATE&gt;=AB$10)*(M_CKDATE&lt;AB$10+7)*ISNUMBER(M_CKDATA)*M_INTYPE)+SUMPRODUCT((W_CKDATE&gt;=AB$10)*(W_CKDATE&lt;AB$10+7)*ISNUMBER(W_CKDATA)*W_INTYPE)+SUMPRODUCT((B_CKDATE&gt;=AB$10)*(B_CKDATE&lt;AB$10+7)*ISNUMBER(B_CKDATA)*B_INTYPE)+SUMPRODUCT((C_CKDATE&gt;=AB$10)*(C_CKDATE&lt;AB$10+7)*ISNUMBER(C_CKDATA)*C_INTYPE)),""),"")</f>
        <v/>
      </c>
      <c r="AC11" s="301" t="str">
        <f>IF(ISNUMBER(AC$10),IFERROR((SUMPRODUCT((P_CKDATE&gt;=AC$10)*(P_CKDATE&lt;AC$10+7)*ISNUMBER(P_CKDATA)*P_INTYPE,P_CKDATA)+SUMPRODUCT((M_CKDATE&gt;=AC$10)*(M_CKDATE&lt;AC$10+7)*ISNUMBER(M_CKDATA)*M_INTYPE,M_CKDATA)+SUMPRODUCT((W_CKDATE&gt;=AC$10)*(W_CKDATE&lt;AC$10+7)*ISNUMBER(W_CKDATA)*W_INTYPE,W_CKDATA)+SUMPRODUCT((B_CKDATE&gt;=AC$10)*(B_CKDATE&lt;AC$10+7)*ISNUMBER(B_CKDATA)*B_INTYPE,B_CKDATA)+SUMPRODUCT((C_CKDATE&gt;=AC$10)*(C_CKDATE&lt;AC$10+7)*ISNUMBER(C_CKDATA)*C_INTYPE,C_CKDATA))/(SUMPRODUCT((P_CKDATE&gt;=AC$10)*(P_CKDATE&lt;AC$10+7)*ISNUMBER(P_CKDATA)*P_INTYPE)+SUMPRODUCT((M_CKDATE&gt;=AC$10)*(M_CKDATE&lt;AC$10+7)*ISNUMBER(M_CKDATA)*M_INTYPE)+SUMPRODUCT((W_CKDATE&gt;=AC$10)*(W_CKDATE&lt;AC$10+7)*ISNUMBER(W_CKDATA)*W_INTYPE)+SUMPRODUCT((B_CKDATE&gt;=AC$10)*(B_CKDATE&lt;AC$10+7)*ISNUMBER(B_CKDATA)*B_INTYPE)+SUMPRODUCT((C_CKDATE&gt;=AC$10)*(C_CKDATE&lt;AC$10+7)*ISNUMBER(C_CKDATA)*C_INTYPE)),""),"")</f>
        <v/>
      </c>
      <c r="AD11" s="301" t="str">
        <f>IF(ISNUMBER(AD$10),IFERROR((SUMPRODUCT((P_CKDATE&gt;=AD$10)*(P_CKDATE&lt;AD$10+7)*ISNUMBER(P_CKDATA)*P_INTYPE,P_CKDATA)+SUMPRODUCT((M_CKDATE&gt;=AD$10)*(M_CKDATE&lt;AD$10+7)*ISNUMBER(M_CKDATA)*M_INTYPE,M_CKDATA)+SUMPRODUCT((W_CKDATE&gt;=AD$10)*(W_CKDATE&lt;AD$10+7)*ISNUMBER(W_CKDATA)*W_INTYPE,W_CKDATA)+SUMPRODUCT((B_CKDATE&gt;=AD$10)*(B_CKDATE&lt;AD$10+7)*ISNUMBER(B_CKDATA)*B_INTYPE,B_CKDATA)+SUMPRODUCT((C_CKDATE&gt;=AD$10)*(C_CKDATE&lt;AD$10+7)*ISNUMBER(C_CKDATA)*C_INTYPE,C_CKDATA))/(SUMPRODUCT((P_CKDATE&gt;=AD$10)*(P_CKDATE&lt;AD$10+7)*ISNUMBER(P_CKDATA)*P_INTYPE)+SUMPRODUCT((M_CKDATE&gt;=AD$10)*(M_CKDATE&lt;AD$10+7)*ISNUMBER(M_CKDATA)*M_INTYPE)+SUMPRODUCT((W_CKDATE&gt;=AD$10)*(W_CKDATE&lt;AD$10+7)*ISNUMBER(W_CKDATA)*W_INTYPE)+SUMPRODUCT((B_CKDATE&gt;=AD$10)*(B_CKDATE&lt;AD$10+7)*ISNUMBER(B_CKDATA)*B_INTYPE)+SUMPRODUCT((C_CKDATE&gt;=AD$10)*(C_CKDATE&lt;AD$10+7)*ISNUMBER(C_CKDATA)*C_INTYPE)),""),"")</f>
        <v/>
      </c>
      <c r="AE11" s="301" t="str">
        <f>IF(ISNUMBER(AE$10),IFERROR((SUMPRODUCT((P_CKDATE&gt;=AE$10)*(P_CKDATE&lt;AE$10+7)*ISNUMBER(P_CKDATA)*P_INTYPE,P_CKDATA)+SUMPRODUCT((M_CKDATE&gt;=AE$10)*(M_CKDATE&lt;AE$10+7)*ISNUMBER(M_CKDATA)*M_INTYPE,M_CKDATA)+SUMPRODUCT((W_CKDATE&gt;=AE$10)*(W_CKDATE&lt;AE$10+7)*ISNUMBER(W_CKDATA)*W_INTYPE,W_CKDATA)+SUMPRODUCT((B_CKDATE&gt;=AE$10)*(B_CKDATE&lt;AE$10+7)*ISNUMBER(B_CKDATA)*B_INTYPE,B_CKDATA)+SUMPRODUCT((C_CKDATE&gt;=AE$10)*(C_CKDATE&lt;AE$10+7)*ISNUMBER(C_CKDATA)*C_INTYPE,C_CKDATA))/(SUMPRODUCT((P_CKDATE&gt;=AE$10)*(P_CKDATE&lt;AE$10+7)*ISNUMBER(P_CKDATA)*P_INTYPE)+SUMPRODUCT((M_CKDATE&gt;=AE$10)*(M_CKDATE&lt;AE$10+7)*ISNUMBER(M_CKDATA)*M_INTYPE)+SUMPRODUCT((W_CKDATE&gt;=AE$10)*(W_CKDATE&lt;AE$10+7)*ISNUMBER(W_CKDATA)*W_INTYPE)+SUMPRODUCT((B_CKDATE&gt;=AE$10)*(B_CKDATE&lt;AE$10+7)*ISNUMBER(B_CKDATA)*B_INTYPE)+SUMPRODUCT((C_CKDATE&gt;=AE$10)*(C_CKDATE&lt;AE$10+7)*ISNUMBER(C_CKDATA)*C_INTYPE)),""),"")</f>
        <v/>
      </c>
      <c r="AF11" s="301" t="str">
        <f>IF(ISNUMBER(AF$10),IFERROR((SUMPRODUCT((P_CKDATE&gt;=AF$10)*(P_CKDATE&lt;AF$10+7)*ISNUMBER(P_CKDATA)*P_INTYPE,P_CKDATA)+SUMPRODUCT((M_CKDATE&gt;=AF$10)*(M_CKDATE&lt;AF$10+7)*ISNUMBER(M_CKDATA)*M_INTYPE,M_CKDATA)+SUMPRODUCT((W_CKDATE&gt;=AF$10)*(W_CKDATE&lt;AF$10+7)*ISNUMBER(W_CKDATA)*W_INTYPE,W_CKDATA)+SUMPRODUCT((B_CKDATE&gt;=AF$10)*(B_CKDATE&lt;AF$10+7)*ISNUMBER(B_CKDATA)*B_INTYPE,B_CKDATA)+SUMPRODUCT((C_CKDATE&gt;=AF$10)*(C_CKDATE&lt;AF$10+7)*ISNUMBER(C_CKDATA)*C_INTYPE,C_CKDATA))/(SUMPRODUCT((P_CKDATE&gt;=AF$10)*(P_CKDATE&lt;AF$10+7)*ISNUMBER(P_CKDATA)*P_INTYPE)+SUMPRODUCT((M_CKDATE&gt;=AF$10)*(M_CKDATE&lt;AF$10+7)*ISNUMBER(M_CKDATA)*M_INTYPE)+SUMPRODUCT((W_CKDATE&gt;=AF$10)*(W_CKDATE&lt;AF$10+7)*ISNUMBER(W_CKDATA)*W_INTYPE)+SUMPRODUCT((B_CKDATE&gt;=AF$10)*(B_CKDATE&lt;AF$10+7)*ISNUMBER(B_CKDATA)*B_INTYPE)+SUMPRODUCT((C_CKDATE&gt;=AF$10)*(C_CKDATE&lt;AF$10+7)*ISNUMBER(C_CKDATA)*C_INTYPE)),""),"")</f>
        <v/>
      </c>
      <c r="AG11" s="301" t="str">
        <f>IF(ISNUMBER(AG$10),IFERROR((SUMPRODUCT((P_CKDATE&gt;=AG$10)*(P_CKDATE&lt;AG$10+7)*ISNUMBER(P_CKDATA)*P_INTYPE,P_CKDATA)+SUMPRODUCT((M_CKDATE&gt;=AG$10)*(M_CKDATE&lt;AG$10+7)*ISNUMBER(M_CKDATA)*M_INTYPE,M_CKDATA)+SUMPRODUCT((W_CKDATE&gt;=AG$10)*(W_CKDATE&lt;AG$10+7)*ISNUMBER(W_CKDATA)*W_INTYPE,W_CKDATA)+SUMPRODUCT((B_CKDATE&gt;=AG$10)*(B_CKDATE&lt;AG$10+7)*ISNUMBER(B_CKDATA)*B_INTYPE,B_CKDATA)+SUMPRODUCT((C_CKDATE&gt;=AG$10)*(C_CKDATE&lt;AG$10+7)*ISNUMBER(C_CKDATA)*C_INTYPE,C_CKDATA))/(SUMPRODUCT((P_CKDATE&gt;=AG$10)*(P_CKDATE&lt;AG$10+7)*ISNUMBER(P_CKDATA)*P_INTYPE)+SUMPRODUCT((M_CKDATE&gt;=AG$10)*(M_CKDATE&lt;AG$10+7)*ISNUMBER(M_CKDATA)*M_INTYPE)+SUMPRODUCT((W_CKDATE&gt;=AG$10)*(W_CKDATE&lt;AG$10+7)*ISNUMBER(W_CKDATA)*W_INTYPE)+SUMPRODUCT((B_CKDATE&gt;=AG$10)*(B_CKDATE&lt;AG$10+7)*ISNUMBER(B_CKDATA)*B_INTYPE)+SUMPRODUCT((C_CKDATE&gt;=AG$10)*(C_CKDATE&lt;AG$10+7)*ISNUMBER(C_CKDATA)*C_INTYPE)),""),"")</f>
        <v/>
      </c>
      <c r="AH11" s="301" t="str">
        <f>IF(ISNUMBER(AH$10),IFERROR((SUMPRODUCT((P_CKDATE&gt;=AH$10)*(P_CKDATE&lt;AH$10+7)*ISNUMBER(P_CKDATA)*P_INTYPE,P_CKDATA)+SUMPRODUCT((M_CKDATE&gt;=AH$10)*(M_CKDATE&lt;AH$10+7)*ISNUMBER(M_CKDATA)*M_INTYPE,M_CKDATA)+SUMPRODUCT((W_CKDATE&gt;=AH$10)*(W_CKDATE&lt;AH$10+7)*ISNUMBER(W_CKDATA)*W_INTYPE,W_CKDATA)+SUMPRODUCT((B_CKDATE&gt;=AH$10)*(B_CKDATE&lt;AH$10+7)*ISNUMBER(B_CKDATA)*B_INTYPE,B_CKDATA)+SUMPRODUCT((C_CKDATE&gt;=AH$10)*(C_CKDATE&lt;AH$10+7)*ISNUMBER(C_CKDATA)*C_INTYPE,C_CKDATA))/(SUMPRODUCT((P_CKDATE&gt;=AH$10)*(P_CKDATE&lt;AH$10+7)*ISNUMBER(P_CKDATA)*P_INTYPE)+SUMPRODUCT((M_CKDATE&gt;=AH$10)*(M_CKDATE&lt;AH$10+7)*ISNUMBER(M_CKDATA)*M_INTYPE)+SUMPRODUCT((W_CKDATE&gt;=AH$10)*(W_CKDATE&lt;AH$10+7)*ISNUMBER(W_CKDATA)*W_INTYPE)+SUMPRODUCT((B_CKDATE&gt;=AH$10)*(B_CKDATE&lt;AH$10+7)*ISNUMBER(B_CKDATA)*B_INTYPE)+SUMPRODUCT((C_CKDATE&gt;=AH$10)*(C_CKDATE&lt;AH$10+7)*ISNUMBER(C_CKDATA)*C_INTYPE)),""),"")</f>
        <v/>
      </c>
      <c r="AI11" s="301" t="str">
        <f>IF(ISNUMBER(AI$10),IFERROR((SUMPRODUCT((P_CKDATE&gt;=AI$10)*(P_CKDATE&lt;AI$10+7)*ISNUMBER(P_CKDATA)*P_INTYPE,P_CKDATA)+SUMPRODUCT((M_CKDATE&gt;=AI$10)*(M_CKDATE&lt;AI$10+7)*ISNUMBER(M_CKDATA)*M_INTYPE,M_CKDATA)+SUMPRODUCT((W_CKDATE&gt;=AI$10)*(W_CKDATE&lt;AI$10+7)*ISNUMBER(W_CKDATA)*W_INTYPE,W_CKDATA)+SUMPRODUCT((B_CKDATE&gt;=AI$10)*(B_CKDATE&lt;AI$10+7)*ISNUMBER(B_CKDATA)*B_INTYPE,B_CKDATA)+SUMPRODUCT((C_CKDATE&gt;=AI$10)*(C_CKDATE&lt;AI$10+7)*ISNUMBER(C_CKDATA)*C_INTYPE,C_CKDATA))/(SUMPRODUCT((P_CKDATE&gt;=AI$10)*(P_CKDATE&lt;AI$10+7)*ISNUMBER(P_CKDATA)*P_INTYPE)+SUMPRODUCT((M_CKDATE&gt;=AI$10)*(M_CKDATE&lt;AI$10+7)*ISNUMBER(M_CKDATA)*M_INTYPE)+SUMPRODUCT((W_CKDATE&gt;=AI$10)*(W_CKDATE&lt;AI$10+7)*ISNUMBER(W_CKDATA)*W_INTYPE)+SUMPRODUCT((B_CKDATE&gt;=AI$10)*(B_CKDATE&lt;AI$10+7)*ISNUMBER(B_CKDATA)*B_INTYPE)+SUMPRODUCT((C_CKDATE&gt;=AI$10)*(C_CKDATE&lt;AI$10+7)*ISNUMBER(C_CKDATA)*C_INTYPE)),""),"")</f>
        <v/>
      </c>
    </row>
    <row r="12" spans="2:49" s="187" customFormat="1" x14ac:dyDescent="0.2">
      <c r="B12" s="266"/>
      <c r="C12" s="267" t="s">
        <v>358</v>
      </c>
      <c r="D12" s="301" t="str">
        <f>Planning!D4</f>
        <v/>
      </c>
      <c r="E12" s="302" t="str">
        <f>IF(ISNUMBER(E$10),IFERROR(SUMPRODUCT((P_CKDATE&gt;=E$10)*(P_CKDATE&lt;E$10+7)*ISNUMBER(P_CKDATA)*P_INTYPE,P_CKDATA)/SUMPRODUCT((P_CKDATE&gt;=E$10)*(P_CKDATE&lt;E$10+7)*ISNUMBER(P_CKDATA)*P_INTYPE),""),"")</f>
        <v/>
      </c>
      <c r="F12" s="302" t="str">
        <f>IF(ISNUMBER(F$10),IFERROR(SUMPRODUCT((P_CKDATE&gt;=F$10)*(P_CKDATE&lt;F$10+7)*ISNUMBER(P_CKDATA)*P_INTYPE,P_CKDATA)/SUMPRODUCT((P_CKDATE&gt;=F$10)*(P_CKDATE&lt;F$10+7)*ISNUMBER(P_CKDATA)*P_INTYPE),""),"")</f>
        <v/>
      </c>
      <c r="G12" s="302" t="str">
        <f>IF(ISNUMBER(G$10),IFERROR(SUMPRODUCT((P_CKDATE&gt;=G$10)*(P_CKDATE&lt;G$10+7)*ISNUMBER(P_CKDATA)*P_INTYPE,P_CKDATA)/SUMPRODUCT((P_CKDATE&gt;=G$10)*(P_CKDATE&lt;G$10+7)*ISNUMBER(P_CKDATA)*P_INTYPE),""),"")</f>
        <v/>
      </c>
      <c r="H12" s="302" t="str">
        <f>IF(ISNUMBER(H$10),IFERROR(SUMPRODUCT((P_CKDATE&gt;=H$10)*(P_CKDATE&lt;H$10+7)*ISNUMBER(P_CKDATA)*P_INTYPE,P_CKDATA)/SUMPRODUCT((P_CKDATE&gt;=H$10)*(P_CKDATE&lt;H$10+7)*ISNUMBER(P_CKDATA)*P_INTYPE),""),"")</f>
        <v/>
      </c>
      <c r="I12" s="302" t="str">
        <f>IF(ISNUMBER(I$10),IFERROR(SUMPRODUCT((P_CKDATE&gt;=I$10)*(P_CKDATE&lt;I$10+7)*ISNUMBER(P_CKDATA)*P_INTYPE,P_CKDATA)/SUMPRODUCT((P_CKDATE&gt;=I$10)*(P_CKDATE&lt;I$10+7)*ISNUMBER(P_CKDATA)*P_INTYPE),""),"")</f>
        <v/>
      </c>
      <c r="J12" s="302" t="str">
        <f>IF(ISNUMBER(J$10),IFERROR(SUMPRODUCT((P_CKDATE&gt;=J$10)*(P_CKDATE&lt;J$10+7)*ISNUMBER(P_CKDATA)*P_INTYPE,P_CKDATA)/SUMPRODUCT((P_CKDATE&gt;=J$10)*(P_CKDATE&lt;J$10+7)*ISNUMBER(P_CKDATA)*P_INTYPE),""),"")</f>
        <v/>
      </c>
      <c r="K12" s="302" t="str">
        <f>IF(ISNUMBER(K$10),IFERROR(SUMPRODUCT((P_CKDATE&gt;=K$10)*(P_CKDATE&lt;K$10+7)*ISNUMBER(P_CKDATA)*P_INTYPE,P_CKDATA)/SUMPRODUCT((P_CKDATE&gt;=K$10)*(P_CKDATE&lt;K$10+7)*ISNUMBER(P_CKDATA)*P_INTYPE),""),"")</f>
        <v/>
      </c>
      <c r="L12" s="302" t="str">
        <f>IF(ISNUMBER(L$10),IFERROR(SUMPRODUCT((P_CKDATE&gt;=L$10)*(P_CKDATE&lt;L$10+7)*ISNUMBER(P_CKDATA)*P_INTYPE,P_CKDATA)/SUMPRODUCT((P_CKDATE&gt;=L$10)*(P_CKDATE&lt;L$10+7)*ISNUMBER(P_CKDATA)*P_INTYPE),""),"")</f>
        <v/>
      </c>
      <c r="M12" s="302" t="str">
        <f>IF(ISNUMBER(M$10),IFERROR(SUMPRODUCT((P_CKDATE&gt;=M$10)*(P_CKDATE&lt;M$10+7)*ISNUMBER(P_CKDATA)*P_INTYPE,P_CKDATA)/SUMPRODUCT((P_CKDATE&gt;=M$10)*(P_CKDATE&lt;M$10+7)*ISNUMBER(P_CKDATA)*P_INTYPE),""),"")</f>
        <v/>
      </c>
      <c r="N12" s="302" t="str">
        <f>IF(ISNUMBER(N$10),IFERROR(SUMPRODUCT((P_CKDATE&gt;=N$10)*(P_CKDATE&lt;N$10+7)*ISNUMBER(P_CKDATA)*P_INTYPE,P_CKDATA)/SUMPRODUCT((P_CKDATE&gt;=N$10)*(P_CKDATE&lt;N$10+7)*ISNUMBER(P_CKDATA)*P_INTYPE),""),"")</f>
        <v/>
      </c>
      <c r="O12" s="302" t="str">
        <f>IF(ISNUMBER(O$10),IFERROR(SUMPRODUCT((P_CKDATE&gt;=O$10)*(P_CKDATE&lt;O$10+7)*ISNUMBER(P_CKDATA)*P_INTYPE,P_CKDATA)/SUMPRODUCT((P_CKDATE&gt;=O$10)*(P_CKDATE&lt;O$10+7)*ISNUMBER(P_CKDATA)*P_INTYPE),""),"")</f>
        <v/>
      </c>
      <c r="P12" s="302" t="str">
        <f>IF(ISNUMBER(P$10),IFERROR(SUMPRODUCT((P_CKDATE&gt;=P$10)*(P_CKDATE&lt;P$10+7)*ISNUMBER(P_CKDATA)*P_INTYPE,P_CKDATA)/SUMPRODUCT((P_CKDATE&gt;=P$10)*(P_CKDATE&lt;P$10+7)*ISNUMBER(P_CKDATA)*P_INTYPE),""),"")</f>
        <v/>
      </c>
      <c r="Q12" s="302" t="str">
        <f>IF(ISNUMBER(Q$10),IFERROR(SUMPRODUCT((P_CKDATE&gt;=Q$10)*(P_CKDATE&lt;Q$10+7)*ISNUMBER(P_CKDATA)*P_INTYPE,P_CKDATA)/SUMPRODUCT((P_CKDATE&gt;=Q$10)*(P_CKDATE&lt;Q$10+7)*ISNUMBER(P_CKDATA)*P_INTYPE),""),"")</f>
        <v/>
      </c>
      <c r="R12" s="302" t="str">
        <f>IF(ISNUMBER(R$10),IFERROR(SUMPRODUCT((P_CKDATE&gt;=R$10)*(P_CKDATE&lt;R$10+7)*ISNUMBER(P_CKDATA)*P_INTYPE,P_CKDATA)/SUMPRODUCT((P_CKDATE&gt;=R$10)*(P_CKDATE&lt;R$10+7)*ISNUMBER(P_CKDATA)*P_INTYPE),""),"")</f>
        <v/>
      </c>
      <c r="S12" s="302" t="str">
        <f>IF(ISNUMBER(S$10),IFERROR(SUMPRODUCT((P_CKDATE&gt;=S$10)*(P_CKDATE&lt;S$10+7)*ISNUMBER(P_CKDATA)*P_INTYPE,P_CKDATA)/SUMPRODUCT((P_CKDATE&gt;=S$10)*(P_CKDATE&lt;S$10+7)*ISNUMBER(P_CKDATA)*P_INTYPE),""),"")</f>
        <v/>
      </c>
      <c r="T12" s="302" t="str">
        <f>IF(ISNUMBER(T$10),IFERROR(SUMPRODUCT((P_CKDATE&gt;=T$10)*(P_CKDATE&lt;T$10+7)*ISNUMBER(P_CKDATA)*P_INTYPE,P_CKDATA)/SUMPRODUCT((P_CKDATE&gt;=T$10)*(P_CKDATE&lt;T$10+7)*ISNUMBER(P_CKDATA)*P_INTYPE),""),"")</f>
        <v/>
      </c>
      <c r="U12" s="302" t="str">
        <f>IF(ISNUMBER(U$10),IFERROR(SUMPRODUCT((P_CKDATE&gt;=U$10)*(P_CKDATE&lt;U$10+7)*ISNUMBER(P_CKDATA)*P_INTYPE,P_CKDATA)/SUMPRODUCT((P_CKDATE&gt;=U$10)*(P_CKDATE&lt;U$10+7)*ISNUMBER(P_CKDATA)*P_INTYPE),""),"")</f>
        <v/>
      </c>
      <c r="V12" s="302" t="str">
        <f>IF(ISNUMBER(V$10),IFERROR(SUMPRODUCT((P_CKDATE&gt;=V$10)*(P_CKDATE&lt;V$10+7)*ISNUMBER(P_CKDATA)*P_INTYPE,P_CKDATA)/SUMPRODUCT((P_CKDATE&gt;=V$10)*(P_CKDATE&lt;V$10+7)*ISNUMBER(P_CKDATA)*P_INTYPE),""),"")</f>
        <v/>
      </c>
      <c r="W12" s="302" t="str">
        <f>IF(ISNUMBER(W$10),IFERROR(SUMPRODUCT((P_CKDATE&gt;=W$10)*(P_CKDATE&lt;W$10+7)*ISNUMBER(P_CKDATA)*P_INTYPE,P_CKDATA)/SUMPRODUCT((P_CKDATE&gt;=W$10)*(P_CKDATE&lt;W$10+7)*ISNUMBER(P_CKDATA)*P_INTYPE),""),"")</f>
        <v/>
      </c>
      <c r="X12" s="302" t="str">
        <f>IF(ISNUMBER(X$10),IFERROR(SUMPRODUCT((P_CKDATE&gt;=X$10)*(P_CKDATE&lt;X$10+7)*ISNUMBER(P_CKDATA)*P_INTYPE,P_CKDATA)/SUMPRODUCT((P_CKDATE&gt;=X$10)*(P_CKDATE&lt;X$10+7)*ISNUMBER(P_CKDATA)*P_INTYPE),""),"")</f>
        <v/>
      </c>
      <c r="Y12" s="302" t="str">
        <f>IF(ISNUMBER(Y$10),IFERROR(SUMPRODUCT((P_CKDATE&gt;=Y$10)*(P_CKDATE&lt;Y$10+7)*ISNUMBER(P_CKDATA)*P_INTYPE,P_CKDATA)/SUMPRODUCT((P_CKDATE&gt;=Y$10)*(P_CKDATE&lt;Y$10+7)*ISNUMBER(P_CKDATA)*P_INTYPE),""),"")</f>
        <v/>
      </c>
      <c r="Z12" s="302" t="str">
        <f>IF(ISNUMBER(Z$10),IFERROR(SUMPRODUCT((P_CKDATE&gt;=Z$10)*(P_CKDATE&lt;Z$10+7)*ISNUMBER(P_CKDATA)*P_INTYPE,P_CKDATA)/SUMPRODUCT((P_CKDATE&gt;=Z$10)*(P_CKDATE&lt;Z$10+7)*ISNUMBER(P_CKDATA)*P_INTYPE),""),"")</f>
        <v/>
      </c>
      <c r="AA12" s="302" t="str">
        <f>IF(ISNUMBER(AA$10),IFERROR(SUMPRODUCT((P_CKDATE&gt;=AA$10)*(P_CKDATE&lt;AA$10+7)*ISNUMBER(P_CKDATA)*P_INTYPE,P_CKDATA)/SUMPRODUCT((P_CKDATE&gt;=AA$10)*(P_CKDATE&lt;AA$10+7)*ISNUMBER(P_CKDATA)*P_INTYPE),""),"")</f>
        <v/>
      </c>
      <c r="AB12" s="302" t="str">
        <f>IF(ISNUMBER(AB$10),IFERROR(SUMPRODUCT((P_CKDATE&gt;=AB$10)*(P_CKDATE&lt;AB$10+7)*ISNUMBER(P_CKDATA)*P_INTYPE,P_CKDATA)/SUMPRODUCT((P_CKDATE&gt;=AB$10)*(P_CKDATE&lt;AB$10+7)*ISNUMBER(P_CKDATA)*P_INTYPE),""),"")</f>
        <v/>
      </c>
      <c r="AC12" s="302" t="str">
        <f>IF(ISNUMBER(AC$10),IFERROR(SUMPRODUCT((P_CKDATE&gt;=AC$10)*(P_CKDATE&lt;AC$10+7)*ISNUMBER(P_CKDATA)*P_INTYPE,P_CKDATA)/SUMPRODUCT((P_CKDATE&gt;=AC$10)*(P_CKDATE&lt;AC$10+7)*ISNUMBER(P_CKDATA)*P_INTYPE),""),"")</f>
        <v/>
      </c>
      <c r="AD12" s="302" t="str">
        <f>IF(ISNUMBER(AD$10),IFERROR(SUMPRODUCT((P_CKDATE&gt;=AD$10)*(P_CKDATE&lt;AD$10+7)*ISNUMBER(P_CKDATA)*P_INTYPE,P_CKDATA)/SUMPRODUCT((P_CKDATE&gt;=AD$10)*(P_CKDATE&lt;AD$10+7)*ISNUMBER(P_CKDATA)*P_INTYPE),""),"")</f>
        <v/>
      </c>
      <c r="AE12" s="302" t="str">
        <f>IF(ISNUMBER(AE$10),IFERROR(SUMPRODUCT((P_CKDATE&gt;=AE$10)*(P_CKDATE&lt;AE$10+7)*ISNUMBER(P_CKDATA)*P_INTYPE,P_CKDATA)/SUMPRODUCT((P_CKDATE&gt;=AE$10)*(P_CKDATE&lt;AE$10+7)*ISNUMBER(P_CKDATA)*P_INTYPE),""),"")</f>
        <v/>
      </c>
      <c r="AF12" s="302" t="str">
        <f>IF(ISNUMBER(AF$10),IFERROR(SUMPRODUCT((P_CKDATE&gt;=AF$10)*(P_CKDATE&lt;AF$10+7)*ISNUMBER(P_CKDATA)*P_INTYPE,P_CKDATA)/SUMPRODUCT((P_CKDATE&gt;=AF$10)*(P_CKDATE&lt;AF$10+7)*ISNUMBER(P_CKDATA)*P_INTYPE),""),"")</f>
        <v/>
      </c>
      <c r="AG12" s="302" t="str">
        <f>IF(ISNUMBER(AG$10),IFERROR(SUMPRODUCT((P_CKDATE&gt;=AG$10)*(P_CKDATE&lt;AG$10+7)*ISNUMBER(P_CKDATA)*P_INTYPE,P_CKDATA)/SUMPRODUCT((P_CKDATE&gt;=AG$10)*(P_CKDATE&lt;AG$10+7)*ISNUMBER(P_CKDATA)*P_INTYPE),""),"")</f>
        <v/>
      </c>
      <c r="AH12" s="302" t="str">
        <f>IF(ISNUMBER(AH$10),IFERROR(SUMPRODUCT((P_CKDATE&gt;=AH$10)*(P_CKDATE&lt;AH$10+7)*ISNUMBER(P_CKDATA)*P_INTYPE,P_CKDATA)/SUMPRODUCT((P_CKDATE&gt;=AH$10)*(P_CKDATE&lt;AH$10+7)*ISNUMBER(P_CKDATA)*P_INTYPE),""),"")</f>
        <v/>
      </c>
      <c r="AI12" s="302" t="str">
        <f>IF(ISNUMBER(AI$10),IFERROR(SUMPRODUCT((P_CKDATE&gt;=AI$10)*(P_CKDATE&lt;AI$10+7)*ISNUMBER(P_CKDATA)*P_INTYPE,P_CKDATA)/SUMPRODUCT((P_CKDATE&gt;=AI$10)*(P_CKDATE&lt;AI$10+7)*ISNUMBER(P_CKDATA)*P_INTYPE),""),"")</f>
        <v/>
      </c>
    </row>
    <row r="13" spans="2:49" s="187" customFormat="1" x14ac:dyDescent="0.2">
      <c r="B13" s="266"/>
      <c r="C13" s="267" t="s">
        <v>349</v>
      </c>
      <c r="D13" s="301" t="str">
        <f>Monthly!D4</f>
        <v/>
      </c>
      <c r="E13" s="302" t="str">
        <f>IF(ISNUMBER(E$10),IFERROR(SUMPRODUCT((M_CKDATE&gt;=E$10)*(M_CKDATE&lt;E$10+7)*ISNUMBER(M_CKDATA)*M_INTYPE,M_CKDATA)/SUMPRODUCT((M_CKDATE&gt;=E$10)*(M_CKDATE&lt;E$10+7)*ISNUMBER(M_CKDATA)*M_INTYPE),""),"")</f>
        <v/>
      </c>
      <c r="F13" s="302" t="str">
        <f>IF(ISNUMBER(F$10),IFERROR(SUMPRODUCT((M_CKDATE&gt;=F$10)*(M_CKDATE&lt;F$10+7)*ISNUMBER(M_CKDATA)*M_INTYPE,M_CKDATA)/SUMPRODUCT((M_CKDATE&gt;=F$10)*(M_CKDATE&lt;F$10+7)*ISNUMBER(M_CKDATA)*M_INTYPE),""),"")</f>
        <v/>
      </c>
      <c r="G13" s="302" t="str">
        <f>IF(ISNUMBER(G$10),IFERROR(SUMPRODUCT((M_CKDATE&gt;=G$10)*(M_CKDATE&lt;G$10+7)*ISNUMBER(M_CKDATA)*M_INTYPE,M_CKDATA)/SUMPRODUCT((M_CKDATE&gt;=G$10)*(M_CKDATE&lt;G$10+7)*ISNUMBER(M_CKDATA)*M_INTYPE),""),"")</f>
        <v/>
      </c>
      <c r="H13" s="302" t="str">
        <f>IF(ISNUMBER(H$10),IFERROR(SUMPRODUCT((M_CKDATE&gt;=H$10)*(M_CKDATE&lt;H$10+7)*ISNUMBER(M_CKDATA)*M_INTYPE,M_CKDATA)/SUMPRODUCT((M_CKDATE&gt;=H$10)*(M_CKDATE&lt;H$10+7)*ISNUMBER(M_CKDATA)*M_INTYPE),""),"")</f>
        <v/>
      </c>
      <c r="I13" s="302" t="str">
        <f>IF(ISNUMBER(I$10),IFERROR(SUMPRODUCT((M_CKDATE&gt;=I$10)*(M_CKDATE&lt;I$10+7)*ISNUMBER(M_CKDATA)*M_INTYPE,M_CKDATA)/SUMPRODUCT((M_CKDATE&gt;=I$10)*(M_CKDATE&lt;I$10+7)*ISNUMBER(M_CKDATA)*M_INTYPE),""),"")</f>
        <v/>
      </c>
      <c r="J13" s="302" t="str">
        <f>IF(ISNUMBER(J$10),IFERROR(SUMPRODUCT((M_CKDATE&gt;=J$10)*(M_CKDATE&lt;J$10+7)*ISNUMBER(M_CKDATA)*M_INTYPE,M_CKDATA)/SUMPRODUCT((M_CKDATE&gt;=J$10)*(M_CKDATE&lt;J$10+7)*ISNUMBER(M_CKDATA)*M_INTYPE),""),"")</f>
        <v/>
      </c>
      <c r="K13" s="302" t="str">
        <f>IF(ISNUMBER(K$10),IFERROR(SUMPRODUCT((M_CKDATE&gt;=K$10)*(M_CKDATE&lt;K$10+7)*ISNUMBER(M_CKDATA)*M_INTYPE,M_CKDATA)/SUMPRODUCT((M_CKDATE&gt;=K$10)*(M_CKDATE&lt;K$10+7)*ISNUMBER(M_CKDATA)*M_INTYPE),""),"")</f>
        <v/>
      </c>
      <c r="L13" s="302" t="str">
        <f>IF(ISNUMBER(L$10),IFERROR(SUMPRODUCT((M_CKDATE&gt;=L$10)*(M_CKDATE&lt;L$10+7)*ISNUMBER(M_CKDATA)*M_INTYPE,M_CKDATA)/SUMPRODUCT((M_CKDATE&gt;=L$10)*(M_CKDATE&lt;L$10+7)*ISNUMBER(M_CKDATA)*M_INTYPE),""),"")</f>
        <v/>
      </c>
      <c r="M13" s="302" t="str">
        <f>IF(ISNUMBER(M$10),IFERROR(SUMPRODUCT((M_CKDATE&gt;=M$10)*(M_CKDATE&lt;M$10+7)*ISNUMBER(M_CKDATA)*M_INTYPE,M_CKDATA)/SUMPRODUCT((M_CKDATE&gt;=M$10)*(M_CKDATE&lt;M$10+7)*ISNUMBER(M_CKDATA)*M_INTYPE),""),"")</f>
        <v/>
      </c>
      <c r="N13" s="302" t="str">
        <f>IF(ISNUMBER(N$10),IFERROR(SUMPRODUCT((M_CKDATE&gt;=N$10)*(M_CKDATE&lt;N$10+7)*ISNUMBER(M_CKDATA)*M_INTYPE,M_CKDATA)/SUMPRODUCT((M_CKDATE&gt;=N$10)*(M_CKDATE&lt;N$10+7)*ISNUMBER(M_CKDATA)*M_INTYPE),""),"")</f>
        <v/>
      </c>
      <c r="O13" s="302" t="str">
        <f>IF(ISNUMBER(O$10),IFERROR(SUMPRODUCT((M_CKDATE&gt;=O$10)*(M_CKDATE&lt;O$10+7)*ISNUMBER(M_CKDATA)*M_INTYPE,M_CKDATA)/SUMPRODUCT((M_CKDATE&gt;=O$10)*(M_CKDATE&lt;O$10+7)*ISNUMBER(M_CKDATA)*M_INTYPE),""),"")</f>
        <v/>
      </c>
      <c r="P13" s="302" t="str">
        <f>IF(ISNUMBER(P$10),IFERROR(SUMPRODUCT((M_CKDATE&gt;=P$10)*(M_CKDATE&lt;P$10+7)*ISNUMBER(M_CKDATA)*M_INTYPE,M_CKDATA)/SUMPRODUCT((M_CKDATE&gt;=P$10)*(M_CKDATE&lt;P$10+7)*ISNUMBER(M_CKDATA)*M_INTYPE),""),"")</f>
        <v/>
      </c>
      <c r="Q13" s="302" t="str">
        <f>IF(ISNUMBER(Q$10),IFERROR(SUMPRODUCT((M_CKDATE&gt;=Q$10)*(M_CKDATE&lt;Q$10+7)*ISNUMBER(M_CKDATA)*M_INTYPE,M_CKDATA)/SUMPRODUCT((M_CKDATE&gt;=Q$10)*(M_CKDATE&lt;Q$10+7)*ISNUMBER(M_CKDATA)*M_INTYPE),""),"")</f>
        <v/>
      </c>
      <c r="R13" s="302" t="str">
        <f>IF(ISNUMBER(R$10),IFERROR(SUMPRODUCT((M_CKDATE&gt;=R$10)*(M_CKDATE&lt;R$10+7)*ISNUMBER(M_CKDATA)*M_INTYPE,M_CKDATA)/SUMPRODUCT((M_CKDATE&gt;=R$10)*(M_CKDATE&lt;R$10+7)*ISNUMBER(M_CKDATA)*M_INTYPE),""),"")</f>
        <v/>
      </c>
      <c r="S13" s="302" t="str">
        <f>IF(ISNUMBER(S$10),IFERROR(SUMPRODUCT((M_CKDATE&gt;=S$10)*(M_CKDATE&lt;S$10+7)*ISNUMBER(M_CKDATA)*M_INTYPE,M_CKDATA)/SUMPRODUCT((M_CKDATE&gt;=S$10)*(M_CKDATE&lt;S$10+7)*ISNUMBER(M_CKDATA)*M_INTYPE),""),"")</f>
        <v/>
      </c>
      <c r="T13" s="302" t="str">
        <f>IF(ISNUMBER(T$10),IFERROR(SUMPRODUCT((M_CKDATE&gt;=T$10)*(M_CKDATE&lt;T$10+7)*ISNUMBER(M_CKDATA)*M_INTYPE,M_CKDATA)/SUMPRODUCT((M_CKDATE&gt;=T$10)*(M_CKDATE&lt;T$10+7)*ISNUMBER(M_CKDATA)*M_INTYPE),""),"")</f>
        <v/>
      </c>
      <c r="U13" s="302" t="str">
        <f>IF(ISNUMBER(U$10),IFERROR(SUMPRODUCT((M_CKDATE&gt;=U$10)*(M_CKDATE&lt;U$10+7)*ISNUMBER(M_CKDATA)*M_INTYPE,M_CKDATA)/SUMPRODUCT((M_CKDATE&gt;=U$10)*(M_CKDATE&lt;U$10+7)*ISNUMBER(M_CKDATA)*M_INTYPE),""),"")</f>
        <v/>
      </c>
      <c r="V13" s="302" t="str">
        <f>IF(ISNUMBER(V$10),IFERROR(SUMPRODUCT((M_CKDATE&gt;=V$10)*(M_CKDATE&lt;V$10+7)*ISNUMBER(M_CKDATA)*M_INTYPE,M_CKDATA)/SUMPRODUCT((M_CKDATE&gt;=V$10)*(M_CKDATE&lt;V$10+7)*ISNUMBER(M_CKDATA)*M_INTYPE),""),"")</f>
        <v/>
      </c>
      <c r="W13" s="302" t="str">
        <f>IF(ISNUMBER(W$10),IFERROR(SUMPRODUCT((M_CKDATE&gt;=W$10)*(M_CKDATE&lt;W$10+7)*ISNUMBER(M_CKDATA)*M_INTYPE,M_CKDATA)/SUMPRODUCT((M_CKDATE&gt;=W$10)*(M_CKDATE&lt;W$10+7)*ISNUMBER(M_CKDATA)*M_INTYPE),""),"")</f>
        <v/>
      </c>
      <c r="X13" s="302" t="str">
        <f>IF(ISNUMBER(X$10),IFERROR(SUMPRODUCT((M_CKDATE&gt;=X$10)*(M_CKDATE&lt;X$10+7)*ISNUMBER(M_CKDATA)*M_INTYPE,M_CKDATA)/SUMPRODUCT((M_CKDATE&gt;=X$10)*(M_CKDATE&lt;X$10+7)*ISNUMBER(M_CKDATA)*M_INTYPE),""),"")</f>
        <v/>
      </c>
      <c r="Y13" s="302" t="str">
        <f>IF(ISNUMBER(Y$10),IFERROR(SUMPRODUCT((M_CKDATE&gt;=Y$10)*(M_CKDATE&lt;Y$10+7)*ISNUMBER(M_CKDATA)*M_INTYPE,M_CKDATA)/SUMPRODUCT((M_CKDATE&gt;=Y$10)*(M_CKDATE&lt;Y$10+7)*ISNUMBER(M_CKDATA)*M_INTYPE),""),"")</f>
        <v/>
      </c>
      <c r="Z13" s="302" t="str">
        <f>IF(ISNUMBER(Z$10),IFERROR(SUMPRODUCT((M_CKDATE&gt;=Z$10)*(M_CKDATE&lt;Z$10+7)*ISNUMBER(M_CKDATA)*M_INTYPE,M_CKDATA)/SUMPRODUCT((M_CKDATE&gt;=Z$10)*(M_CKDATE&lt;Z$10+7)*ISNUMBER(M_CKDATA)*M_INTYPE),""),"")</f>
        <v/>
      </c>
      <c r="AA13" s="302" t="str">
        <f>IF(ISNUMBER(AA$10),IFERROR(SUMPRODUCT((M_CKDATE&gt;=AA$10)*(M_CKDATE&lt;AA$10+7)*ISNUMBER(M_CKDATA)*M_INTYPE,M_CKDATA)/SUMPRODUCT((M_CKDATE&gt;=AA$10)*(M_CKDATE&lt;AA$10+7)*ISNUMBER(M_CKDATA)*M_INTYPE),""),"")</f>
        <v/>
      </c>
      <c r="AB13" s="302" t="str">
        <f>IF(ISNUMBER(AB$10),IFERROR(SUMPRODUCT((M_CKDATE&gt;=AB$10)*(M_CKDATE&lt;AB$10+7)*ISNUMBER(M_CKDATA)*M_INTYPE,M_CKDATA)/SUMPRODUCT((M_CKDATE&gt;=AB$10)*(M_CKDATE&lt;AB$10+7)*ISNUMBER(M_CKDATA)*M_INTYPE),""),"")</f>
        <v/>
      </c>
      <c r="AC13" s="302" t="str">
        <f>IF(ISNUMBER(AC$10),IFERROR(SUMPRODUCT((M_CKDATE&gt;=AC$10)*(M_CKDATE&lt;AC$10+7)*ISNUMBER(M_CKDATA)*M_INTYPE,M_CKDATA)/SUMPRODUCT((M_CKDATE&gt;=AC$10)*(M_CKDATE&lt;AC$10+7)*ISNUMBER(M_CKDATA)*M_INTYPE),""),"")</f>
        <v/>
      </c>
      <c r="AD13" s="302" t="str">
        <f>IF(ISNUMBER(AD$10),IFERROR(SUMPRODUCT((M_CKDATE&gt;=AD$10)*(M_CKDATE&lt;AD$10+7)*ISNUMBER(M_CKDATA)*M_INTYPE,M_CKDATA)/SUMPRODUCT((M_CKDATE&gt;=AD$10)*(M_CKDATE&lt;AD$10+7)*ISNUMBER(M_CKDATA)*M_INTYPE),""),"")</f>
        <v/>
      </c>
      <c r="AE13" s="302" t="str">
        <f>IF(ISNUMBER(AE$10),IFERROR(SUMPRODUCT((M_CKDATE&gt;=AE$10)*(M_CKDATE&lt;AE$10+7)*ISNUMBER(M_CKDATA)*M_INTYPE,M_CKDATA)/SUMPRODUCT((M_CKDATE&gt;=AE$10)*(M_CKDATE&lt;AE$10+7)*ISNUMBER(M_CKDATA)*M_INTYPE),""),"")</f>
        <v/>
      </c>
      <c r="AF13" s="302" t="str">
        <f>IF(ISNUMBER(AF$10),IFERROR(SUMPRODUCT((M_CKDATE&gt;=AF$10)*(M_CKDATE&lt;AF$10+7)*ISNUMBER(M_CKDATA)*M_INTYPE,M_CKDATA)/SUMPRODUCT((M_CKDATE&gt;=AF$10)*(M_CKDATE&lt;AF$10+7)*ISNUMBER(M_CKDATA)*M_INTYPE),""),"")</f>
        <v/>
      </c>
      <c r="AG13" s="302" t="str">
        <f>IF(ISNUMBER(AG$10),IFERROR(SUMPRODUCT((M_CKDATE&gt;=AG$10)*(M_CKDATE&lt;AG$10+7)*ISNUMBER(M_CKDATA)*M_INTYPE,M_CKDATA)/SUMPRODUCT((M_CKDATE&gt;=AG$10)*(M_CKDATE&lt;AG$10+7)*ISNUMBER(M_CKDATA)*M_INTYPE),""),"")</f>
        <v/>
      </c>
      <c r="AH13" s="302" t="str">
        <f>IF(ISNUMBER(AH$10),IFERROR(SUMPRODUCT((M_CKDATE&gt;=AH$10)*(M_CKDATE&lt;AH$10+7)*ISNUMBER(M_CKDATA)*M_INTYPE,M_CKDATA)/SUMPRODUCT((M_CKDATE&gt;=AH$10)*(M_CKDATE&lt;AH$10+7)*ISNUMBER(M_CKDATA)*M_INTYPE),""),"")</f>
        <v/>
      </c>
      <c r="AI13" s="302" t="str">
        <f>IF(ISNUMBER(AI$10),IFERROR(SUMPRODUCT((M_CKDATE&gt;=AI$10)*(M_CKDATE&lt;AI$10+7)*ISNUMBER(M_CKDATA)*M_INTYPE,M_CKDATA)/SUMPRODUCT((M_CKDATE&gt;=AI$10)*(M_CKDATE&lt;AI$10+7)*ISNUMBER(M_CKDATA)*M_INTYPE),""),"")</f>
        <v/>
      </c>
    </row>
    <row r="14" spans="2:49" s="187" customFormat="1" x14ac:dyDescent="0.2">
      <c r="B14" s="266"/>
      <c r="C14" s="267" t="s">
        <v>342</v>
      </c>
      <c r="D14" s="301" t="str">
        <f>Weekly!D4</f>
        <v/>
      </c>
      <c r="E14" s="302" t="str">
        <f>IF(ISNUMBER(E$10),IFERROR(SUMPRODUCT((W_CKDATE&gt;=E$10)*(W_CKDATE&lt;E$10+7)*ISNUMBER(W_CKDATA)*W_INTYPE,W_CKDATA)/SUMPRODUCT((W_CKDATE&gt;=E$10)*(W_CKDATE&lt;E$10+7)*ISNUMBER(W_CKDATA)*W_INTYPE),""),"")</f>
        <v/>
      </c>
      <c r="F14" s="302" t="str">
        <f>IF(ISNUMBER(F$10),IFERROR(SUMPRODUCT((W_CKDATE&gt;=F$10)*(W_CKDATE&lt;F$10+7)*ISNUMBER(W_CKDATA)*W_INTYPE,W_CKDATA)/SUMPRODUCT((W_CKDATE&gt;=F$10)*(W_CKDATE&lt;F$10+7)*ISNUMBER(W_CKDATA)*W_INTYPE),""),"")</f>
        <v/>
      </c>
      <c r="G14" s="302" t="str">
        <f>IF(ISNUMBER(G$10),IFERROR(SUMPRODUCT((W_CKDATE&gt;=G$10)*(W_CKDATE&lt;G$10+7)*ISNUMBER(W_CKDATA)*W_INTYPE,W_CKDATA)/SUMPRODUCT((W_CKDATE&gt;=G$10)*(W_CKDATE&lt;G$10+7)*ISNUMBER(W_CKDATA)*W_INTYPE),""),"")</f>
        <v/>
      </c>
      <c r="H14" s="302" t="str">
        <f>IF(ISNUMBER(H$10),IFERROR(SUMPRODUCT((W_CKDATE&gt;=H$10)*(W_CKDATE&lt;H$10+7)*ISNUMBER(W_CKDATA)*W_INTYPE,W_CKDATA)/SUMPRODUCT((W_CKDATE&gt;=H$10)*(W_CKDATE&lt;H$10+7)*ISNUMBER(W_CKDATA)*W_INTYPE),""),"")</f>
        <v/>
      </c>
      <c r="I14" s="302" t="str">
        <f>IF(ISNUMBER(I$10),IFERROR(SUMPRODUCT((W_CKDATE&gt;=I$10)*(W_CKDATE&lt;I$10+7)*ISNUMBER(W_CKDATA)*W_INTYPE,W_CKDATA)/SUMPRODUCT((W_CKDATE&gt;=I$10)*(W_CKDATE&lt;I$10+7)*ISNUMBER(W_CKDATA)*W_INTYPE),""),"")</f>
        <v/>
      </c>
      <c r="J14" s="302" t="str">
        <f>IF(ISNUMBER(J$10),IFERROR(SUMPRODUCT((W_CKDATE&gt;=J$10)*(W_CKDATE&lt;J$10+7)*ISNUMBER(W_CKDATA)*W_INTYPE,W_CKDATA)/SUMPRODUCT((W_CKDATE&gt;=J$10)*(W_CKDATE&lt;J$10+7)*ISNUMBER(W_CKDATA)*W_INTYPE),""),"")</f>
        <v/>
      </c>
      <c r="K14" s="302" t="str">
        <f>IF(ISNUMBER(K$10),IFERROR(SUMPRODUCT((W_CKDATE&gt;=K$10)*(W_CKDATE&lt;K$10+7)*ISNUMBER(W_CKDATA)*W_INTYPE,W_CKDATA)/SUMPRODUCT((W_CKDATE&gt;=K$10)*(W_CKDATE&lt;K$10+7)*ISNUMBER(W_CKDATA)*W_INTYPE),""),"")</f>
        <v/>
      </c>
      <c r="L14" s="302" t="str">
        <f>IF(ISNUMBER(L$10),IFERROR(SUMPRODUCT((W_CKDATE&gt;=L$10)*(W_CKDATE&lt;L$10+7)*ISNUMBER(W_CKDATA)*W_INTYPE,W_CKDATA)/SUMPRODUCT((W_CKDATE&gt;=L$10)*(W_CKDATE&lt;L$10+7)*ISNUMBER(W_CKDATA)*W_INTYPE),""),"")</f>
        <v/>
      </c>
      <c r="M14" s="302" t="str">
        <f>IF(ISNUMBER(M$10),IFERROR(SUMPRODUCT((W_CKDATE&gt;=M$10)*(W_CKDATE&lt;M$10+7)*ISNUMBER(W_CKDATA)*W_INTYPE,W_CKDATA)/SUMPRODUCT((W_CKDATE&gt;=M$10)*(W_CKDATE&lt;M$10+7)*ISNUMBER(W_CKDATA)*W_INTYPE),""),"")</f>
        <v/>
      </c>
      <c r="N14" s="302" t="str">
        <f>IF(ISNUMBER(N$10),IFERROR(SUMPRODUCT((W_CKDATE&gt;=N$10)*(W_CKDATE&lt;N$10+7)*ISNUMBER(W_CKDATA)*W_INTYPE,W_CKDATA)/SUMPRODUCT((W_CKDATE&gt;=N$10)*(W_CKDATE&lt;N$10+7)*ISNUMBER(W_CKDATA)*W_INTYPE),""),"")</f>
        <v/>
      </c>
      <c r="O14" s="302" t="str">
        <f>IF(ISNUMBER(O$10),IFERROR(SUMPRODUCT((W_CKDATE&gt;=O$10)*(W_CKDATE&lt;O$10+7)*ISNUMBER(W_CKDATA)*W_INTYPE,W_CKDATA)/SUMPRODUCT((W_CKDATE&gt;=O$10)*(W_CKDATE&lt;O$10+7)*ISNUMBER(W_CKDATA)*W_INTYPE),""),"")</f>
        <v/>
      </c>
      <c r="P14" s="302" t="str">
        <f>IF(ISNUMBER(P$10),IFERROR(SUMPRODUCT((W_CKDATE&gt;=P$10)*(W_CKDATE&lt;P$10+7)*ISNUMBER(W_CKDATA)*W_INTYPE,W_CKDATA)/SUMPRODUCT((W_CKDATE&gt;=P$10)*(W_CKDATE&lt;P$10+7)*ISNUMBER(W_CKDATA)*W_INTYPE),""),"")</f>
        <v/>
      </c>
      <c r="Q14" s="302" t="str">
        <f>IF(ISNUMBER(Q$10),IFERROR(SUMPRODUCT((W_CKDATE&gt;=Q$10)*(W_CKDATE&lt;Q$10+7)*ISNUMBER(W_CKDATA)*W_INTYPE,W_CKDATA)/SUMPRODUCT((W_CKDATE&gt;=Q$10)*(W_CKDATE&lt;Q$10+7)*ISNUMBER(W_CKDATA)*W_INTYPE),""),"")</f>
        <v/>
      </c>
      <c r="R14" s="302" t="str">
        <f>IF(ISNUMBER(R$10),IFERROR(SUMPRODUCT((W_CKDATE&gt;=R$10)*(W_CKDATE&lt;R$10+7)*ISNUMBER(W_CKDATA)*W_INTYPE,W_CKDATA)/SUMPRODUCT((W_CKDATE&gt;=R$10)*(W_CKDATE&lt;R$10+7)*ISNUMBER(W_CKDATA)*W_INTYPE),""),"")</f>
        <v/>
      </c>
      <c r="S14" s="302" t="str">
        <f>IF(ISNUMBER(S$10),IFERROR(SUMPRODUCT((W_CKDATE&gt;=S$10)*(W_CKDATE&lt;S$10+7)*ISNUMBER(W_CKDATA)*W_INTYPE,W_CKDATA)/SUMPRODUCT((W_CKDATE&gt;=S$10)*(W_CKDATE&lt;S$10+7)*ISNUMBER(W_CKDATA)*W_INTYPE),""),"")</f>
        <v/>
      </c>
      <c r="T14" s="302" t="str">
        <f>IF(ISNUMBER(T$10),IFERROR(SUMPRODUCT((W_CKDATE&gt;=T$10)*(W_CKDATE&lt;T$10+7)*ISNUMBER(W_CKDATA)*W_INTYPE,W_CKDATA)/SUMPRODUCT((W_CKDATE&gt;=T$10)*(W_CKDATE&lt;T$10+7)*ISNUMBER(W_CKDATA)*W_INTYPE),""),"")</f>
        <v/>
      </c>
      <c r="U14" s="302" t="str">
        <f>IF(ISNUMBER(U$10),IFERROR(SUMPRODUCT((W_CKDATE&gt;=U$10)*(W_CKDATE&lt;U$10+7)*ISNUMBER(W_CKDATA)*W_INTYPE,W_CKDATA)/SUMPRODUCT((W_CKDATE&gt;=U$10)*(W_CKDATE&lt;U$10+7)*ISNUMBER(W_CKDATA)*W_INTYPE),""),"")</f>
        <v/>
      </c>
      <c r="V14" s="302" t="str">
        <f>IF(ISNUMBER(V$10),IFERROR(SUMPRODUCT((W_CKDATE&gt;=V$10)*(W_CKDATE&lt;V$10+7)*ISNUMBER(W_CKDATA)*W_INTYPE,W_CKDATA)/SUMPRODUCT((W_CKDATE&gt;=V$10)*(W_CKDATE&lt;V$10+7)*ISNUMBER(W_CKDATA)*W_INTYPE),""),"")</f>
        <v/>
      </c>
      <c r="W14" s="302" t="str">
        <f>IF(ISNUMBER(W$10),IFERROR(SUMPRODUCT((W_CKDATE&gt;=W$10)*(W_CKDATE&lt;W$10+7)*ISNUMBER(W_CKDATA)*W_INTYPE,W_CKDATA)/SUMPRODUCT((W_CKDATE&gt;=W$10)*(W_CKDATE&lt;W$10+7)*ISNUMBER(W_CKDATA)*W_INTYPE),""),"")</f>
        <v/>
      </c>
      <c r="X14" s="302" t="str">
        <f>IF(ISNUMBER(X$10),IFERROR(SUMPRODUCT((W_CKDATE&gt;=X$10)*(W_CKDATE&lt;X$10+7)*ISNUMBER(W_CKDATA)*W_INTYPE,W_CKDATA)/SUMPRODUCT((W_CKDATE&gt;=X$10)*(W_CKDATE&lt;X$10+7)*ISNUMBER(W_CKDATA)*W_INTYPE),""),"")</f>
        <v/>
      </c>
      <c r="Y14" s="302" t="str">
        <f>IF(ISNUMBER(Y$10),IFERROR(SUMPRODUCT((W_CKDATE&gt;=Y$10)*(W_CKDATE&lt;Y$10+7)*ISNUMBER(W_CKDATA)*W_INTYPE,W_CKDATA)/SUMPRODUCT((W_CKDATE&gt;=Y$10)*(W_CKDATE&lt;Y$10+7)*ISNUMBER(W_CKDATA)*W_INTYPE),""),"")</f>
        <v/>
      </c>
      <c r="Z14" s="302" t="str">
        <f>IF(ISNUMBER(Z$10),IFERROR(SUMPRODUCT((W_CKDATE&gt;=Z$10)*(W_CKDATE&lt;Z$10+7)*ISNUMBER(W_CKDATA)*W_INTYPE,W_CKDATA)/SUMPRODUCT((W_CKDATE&gt;=Z$10)*(W_CKDATE&lt;Z$10+7)*ISNUMBER(W_CKDATA)*W_INTYPE),""),"")</f>
        <v/>
      </c>
      <c r="AA14" s="302" t="str">
        <f>IF(ISNUMBER(AA$10),IFERROR(SUMPRODUCT((W_CKDATE&gt;=AA$10)*(W_CKDATE&lt;AA$10+7)*ISNUMBER(W_CKDATA)*W_INTYPE,W_CKDATA)/SUMPRODUCT((W_CKDATE&gt;=AA$10)*(W_CKDATE&lt;AA$10+7)*ISNUMBER(W_CKDATA)*W_INTYPE),""),"")</f>
        <v/>
      </c>
      <c r="AB14" s="302" t="str">
        <f>IF(ISNUMBER(AB$10),IFERROR(SUMPRODUCT((W_CKDATE&gt;=AB$10)*(W_CKDATE&lt;AB$10+7)*ISNUMBER(W_CKDATA)*W_INTYPE,W_CKDATA)/SUMPRODUCT((W_CKDATE&gt;=AB$10)*(W_CKDATE&lt;AB$10+7)*ISNUMBER(W_CKDATA)*W_INTYPE),""),"")</f>
        <v/>
      </c>
      <c r="AC14" s="302" t="str">
        <f>IF(ISNUMBER(AC$10),IFERROR(SUMPRODUCT((W_CKDATE&gt;=AC$10)*(W_CKDATE&lt;AC$10+7)*ISNUMBER(W_CKDATA)*W_INTYPE,W_CKDATA)/SUMPRODUCT((W_CKDATE&gt;=AC$10)*(W_CKDATE&lt;AC$10+7)*ISNUMBER(W_CKDATA)*W_INTYPE),""),"")</f>
        <v/>
      </c>
      <c r="AD14" s="302" t="str">
        <f>IF(ISNUMBER(AD$10),IFERROR(SUMPRODUCT((W_CKDATE&gt;=AD$10)*(W_CKDATE&lt;AD$10+7)*ISNUMBER(W_CKDATA)*W_INTYPE,W_CKDATA)/SUMPRODUCT((W_CKDATE&gt;=AD$10)*(W_CKDATE&lt;AD$10+7)*ISNUMBER(W_CKDATA)*W_INTYPE),""),"")</f>
        <v/>
      </c>
      <c r="AE14" s="302" t="str">
        <f>IF(ISNUMBER(AE$10),IFERROR(SUMPRODUCT((W_CKDATE&gt;=AE$10)*(W_CKDATE&lt;AE$10+7)*ISNUMBER(W_CKDATA)*W_INTYPE,W_CKDATA)/SUMPRODUCT((W_CKDATE&gt;=AE$10)*(W_CKDATE&lt;AE$10+7)*ISNUMBER(W_CKDATA)*W_INTYPE),""),"")</f>
        <v/>
      </c>
      <c r="AF14" s="302" t="str">
        <f>IF(ISNUMBER(AF$10),IFERROR(SUMPRODUCT((W_CKDATE&gt;=AF$10)*(W_CKDATE&lt;AF$10+7)*ISNUMBER(W_CKDATA)*W_INTYPE,W_CKDATA)/SUMPRODUCT((W_CKDATE&gt;=AF$10)*(W_CKDATE&lt;AF$10+7)*ISNUMBER(W_CKDATA)*W_INTYPE),""),"")</f>
        <v/>
      </c>
      <c r="AG14" s="302" t="str">
        <f>IF(ISNUMBER(AG$10),IFERROR(SUMPRODUCT((W_CKDATE&gt;=AG$10)*(W_CKDATE&lt;AG$10+7)*ISNUMBER(W_CKDATA)*W_INTYPE,W_CKDATA)/SUMPRODUCT((W_CKDATE&gt;=AG$10)*(W_CKDATE&lt;AG$10+7)*ISNUMBER(W_CKDATA)*W_INTYPE),""),"")</f>
        <v/>
      </c>
      <c r="AH14" s="302" t="str">
        <f>IF(ISNUMBER(AH$10),IFERROR(SUMPRODUCT((W_CKDATE&gt;=AH$10)*(W_CKDATE&lt;AH$10+7)*ISNUMBER(W_CKDATA)*W_INTYPE,W_CKDATA)/SUMPRODUCT((W_CKDATE&gt;=AH$10)*(W_CKDATE&lt;AH$10+7)*ISNUMBER(W_CKDATA)*W_INTYPE),""),"")</f>
        <v/>
      </c>
      <c r="AI14" s="302" t="str">
        <f>IF(ISNUMBER(AI$10),IFERROR(SUMPRODUCT((W_CKDATE&gt;=AI$10)*(W_CKDATE&lt;AI$10+7)*ISNUMBER(W_CKDATA)*W_INTYPE,W_CKDATA)/SUMPRODUCT((W_CKDATE&gt;=AI$10)*(W_CKDATE&lt;AI$10+7)*ISNUMBER(W_CKDATA)*W_INTYPE),""),"")</f>
        <v/>
      </c>
    </row>
    <row r="15" spans="2:49" s="187" customFormat="1" x14ac:dyDescent="0.2">
      <c r="B15" s="266"/>
      <c r="C15" s="267" t="s">
        <v>359</v>
      </c>
      <c r="D15" s="301" t="str">
        <f>Baseline!D4</f>
        <v/>
      </c>
      <c r="E15" s="302" t="str">
        <f>IF(ISNUMBER(E$10),IFERROR(SUMPRODUCT((B_CKDATE&gt;=E$10)*(B_CKDATE&lt;E$10+7)*ISNUMBER(B_CKDATA)*B_INTYPE,B_CKDATA)/SUMPRODUCT((B_CKDATE&gt;=E$10)*(B_CKDATE&lt;E$10+7)*ISNUMBER(B_CKDATA)*B_INTYPE),""),"")</f>
        <v/>
      </c>
      <c r="F15" s="302" t="str">
        <f>IF(ISNUMBER(F$10),IFERROR(SUMPRODUCT((B_CKDATE&gt;=F$10)*(B_CKDATE&lt;F$10+7)*ISNUMBER(B_CKDATA)*B_INTYPE,B_CKDATA)/SUMPRODUCT((B_CKDATE&gt;=F$10)*(B_CKDATE&lt;F$10+7)*ISNUMBER(B_CKDATA)*B_INTYPE),""),"")</f>
        <v/>
      </c>
      <c r="G15" s="302" t="str">
        <f>IF(ISNUMBER(G$10),IFERROR(SUMPRODUCT((B_CKDATE&gt;=G$10)*(B_CKDATE&lt;G$10+7)*ISNUMBER(B_CKDATA)*B_INTYPE,B_CKDATA)/SUMPRODUCT((B_CKDATE&gt;=G$10)*(B_CKDATE&lt;G$10+7)*ISNUMBER(B_CKDATA)*B_INTYPE),""),"")</f>
        <v/>
      </c>
      <c r="H15" s="302" t="str">
        <f>IF(ISNUMBER(H$10),IFERROR(SUMPRODUCT((B_CKDATE&gt;=H$10)*(B_CKDATE&lt;H$10+7)*ISNUMBER(B_CKDATA)*B_INTYPE,B_CKDATA)/SUMPRODUCT((B_CKDATE&gt;=H$10)*(B_CKDATE&lt;H$10+7)*ISNUMBER(B_CKDATA)*B_INTYPE),""),"")</f>
        <v/>
      </c>
      <c r="I15" s="302" t="str">
        <f>IF(ISNUMBER(I$10),IFERROR(SUMPRODUCT((B_CKDATE&gt;=I$10)*(B_CKDATE&lt;I$10+7)*ISNUMBER(B_CKDATA)*B_INTYPE,B_CKDATA)/SUMPRODUCT((B_CKDATE&gt;=I$10)*(B_CKDATE&lt;I$10+7)*ISNUMBER(B_CKDATA)*B_INTYPE),""),"")</f>
        <v/>
      </c>
      <c r="J15" s="302" t="str">
        <f>IF(ISNUMBER(J$10),IFERROR(SUMPRODUCT((B_CKDATE&gt;=J$10)*(B_CKDATE&lt;J$10+7)*ISNUMBER(B_CKDATA)*B_INTYPE,B_CKDATA)/SUMPRODUCT((B_CKDATE&gt;=J$10)*(B_CKDATE&lt;J$10+7)*ISNUMBER(B_CKDATA)*B_INTYPE),""),"")</f>
        <v/>
      </c>
      <c r="K15" s="302" t="str">
        <f>IF(ISNUMBER(K$10),IFERROR(SUMPRODUCT((B_CKDATE&gt;=K$10)*(B_CKDATE&lt;K$10+7)*ISNUMBER(B_CKDATA)*B_INTYPE,B_CKDATA)/SUMPRODUCT((B_CKDATE&gt;=K$10)*(B_CKDATE&lt;K$10+7)*ISNUMBER(B_CKDATA)*B_INTYPE),""),"")</f>
        <v/>
      </c>
      <c r="L15" s="302" t="str">
        <f>IF(ISNUMBER(L$10),IFERROR(SUMPRODUCT((B_CKDATE&gt;=L$10)*(B_CKDATE&lt;L$10+7)*ISNUMBER(B_CKDATA)*B_INTYPE,B_CKDATA)/SUMPRODUCT((B_CKDATE&gt;=L$10)*(B_CKDATE&lt;L$10+7)*ISNUMBER(B_CKDATA)*B_INTYPE),""),"")</f>
        <v/>
      </c>
      <c r="M15" s="302" t="str">
        <f>IF(ISNUMBER(M$10),IFERROR(SUMPRODUCT((B_CKDATE&gt;=M$10)*(B_CKDATE&lt;M$10+7)*ISNUMBER(B_CKDATA)*B_INTYPE,B_CKDATA)/SUMPRODUCT((B_CKDATE&gt;=M$10)*(B_CKDATE&lt;M$10+7)*ISNUMBER(B_CKDATA)*B_INTYPE),""),"")</f>
        <v/>
      </c>
      <c r="N15" s="302" t="str">
        <f>IF(ISNUMBER(N$10),IFERROR(SUMPRODUCT((B_CKDATE&gt;=N$10)*(B_CKDATE&lt;N$10+7)*ISNUMBER(B_CKDATA)*B_INTYPE,B_CKDATA)/SUMPRODUCT((B_CKDATE&gt;=N$10)*(B_CKDATE&lt;N$10+7)*ISNUMBER(B_CKDATA)*B_INTYPE),""),"")</f>
        <v/>
      </c>
      <c r="O15" s="302" t="str">
        <f>IF(ISNUMBER(O$10),IFERROR(SUMPRODUCT((B_CKDATE&gt;=O$10)*(B_CKDATE&lt;O$10+7)*ISNUMBER(B_CKDATA)*B_INTYPE,B_CKDATA)/SUMPRODUCT((B_CKDATE&gt;=O$10)*(B_CKDATE&lt;O$10+7)*ISNUMBER(B_CKDATA)*B_INTYPE),""),"")</f>
        <v/>
      </c>
      <c r="P15" s="302" t="str">
        <f>IF(ISNUMBER(P$10),IFERROR(SUMPRODUCT((B_CKDATE&gt;=P$10)*(B_CKDATE&lt;P$10+7)*ISNUMBER(B_CKDATA)*B_INTYPE,B_CKDATA)/SUMPRODUCT((B_CKDATE&gt;=P$10)*(B_CKDATE&lt;P$10+7)*ISNUMBER(B_CKDATA)*B_INTYPE),""),"")</f>
        <v/>
      </c>
      <c r="Q15" s="302" t="str">
        <f>IF(ISNUMBER(Q$10),IFERROR(SUMPRODUCT((B_CKDATE&gt;=Q$10)*(B_CKDATE&lt;Q$10+7)*ISNUMBER(B_CKDATA)*B_INTYPE,B_CKDATA)/SUMPRODUCT((B_CKDATE&gt;=Q$10)*(B_CKDATE&lt;Q$10+7)*ISNUMBER(B_CKDATA)*B_INTYPE),""),"")</f>
        <v/>
      </c>
      <c r="R15" s="302" t="str">
        <f>IF(ISNUMBER(R$10),IFERROR(SUMPRODUCT((B_CKDATE&gt;=R$10)*(B_CKDATE&lt;R$10+7)*ISNUMBER(B_CKDATA)*B_INTYPE,B_CKDATA)/SUMPRODUCT((B_CKDATE&gt;=R$10)*(B_CKDATE&lt;R$10+7)*ISNUMBER(B_CKDATA)*B_INTYPE),""),"")</f>
        <v/>
      </c>
      <c r="S15" s="302" t="str">
        <f>IF(ISNUMBER(S$10),IFERROR(SUMPRODUCT((B_CKDATE&gt;=S$10)*(B_CKDATE&lt;S$10+7)*ISNUMBER(B_CKDATA)*B_INTYPE,B_CKDATA)/SUMPRODUCT((B_CKDATE&gt;=S$10)*(B_CKDATE&lt;S$10+7)*ISNUMBER(B_CKDATA)*B_INTYPE),""),"")</f>
        <v/>
      </c>
      <c r="T15" s="302" t="str">
        <f>IF(ISNUMBER(T$10),IFERROR(SUMPRODUCT((B_CKDATE&gt;=T$10)*(B_CKDATE&lt;T$10+7)*ISNUMBER(B_CKDATA)*B_INTYPE,B_CKDATA)/SUMPRODUCT((B_CKDATE&gt;=T$10)*(B_CKDATE&lt;T$10+7)*ISNUMBER(B_CKDATA)*B_INTYPE),""),"")</f>
        <v/>
      </c>
      <c r="U15" s="302" t="str">
        <f>IF(ISNUMBER(U$10),IFERROR(SUMPRODUCT((B_CKDATE&gt;=U$10)*(B_CKDATE&lt;U$10+7)*ISNUMBER(B_CKDATA)*B_INTYPE,B_CKDATA)/SUMPRODUCT((B_CKDATE&gt;=U$10)*(B_CKDATE&lt;U$10+7)*ISNUMBER(B_CKDATA)*B_INTYPE),""),"")</f>
        <v/>
      </c>
      <c r="V15" s="302" t="str">
        <f>IF(ISNUMBER(V$10),IFERROR(SUMPRODUCT((B_CKDATE&gt;=V$10)*(B_CKDATE&lt;V$10+7)*ISNUMBER(B_CKDATA)*B_INTYPE,B_CKDATA)/SUMPRODUCT((B_CKDATE&gt;=V$10)*(B_CKDATE&lt;V$10+7)*ISNUMBER(B_CKDATA)*B_INTYPE),""),"")</f>
        <v/>
      </c>
      <c r="W15" s="302" t="str">
        <f>IF(ISNUMBER(W$10),IFERROR(SUMPRODUCT((B_CKDATE&gt;=W$10)*(B_CKDATE&lt;W$10+7)*ISNUMBER(B_CKDATA)*B_INTYPE,B_CKDATA)/SUMPRODUCT((B_CKDATE&gt;=W$10)*(B_CKDATE&lt;W$10+7)*ISNUMBER(B_CKDATA)*B_INTYPE),""),"")</f>
        <v/>
      </c>
      <c r="X15" s="302" t="str">
        <f>IF(ISNUMBER(X$10),IFERROR(SUMPRODUCT((B_CKDATE&gt;=X$10)*(B_CKDATE&lt;X$10+7)*ISNUMBER(B_CKDATA)*B_INTYPE,B_CKDATA)/SUMPRODUCT((B_CKDATE&gt;=X$10)*(B_CKDATE&lt;X$10+7)*ISNUMBER(B_CKDATA)*B_INTYPE),""),"")</f>
        <v/>
      </c>
      <c r="Y15" s="302" t="str">
        <f>IF(ISNUMBER(Y$10),IFERROR(SUMPRODUCT((B_CKDATE&gt;=Y$10)*(B_CKDATE&lt;Y$10+7)*ISNUMBER(B_CKDATA)*B_INTYPE,B_CKDATA)/SUMPRODUCT((B_CKDATE&gt;=Y$10)*(B_CKDATE&lt;Y$10+7)*ISNUMBER(B_CKDATA)*B_INTYPE),""),"")</f>
        <v/>
      </c>
      <c r="Z15" s="302" t="str">
        <f>IF(ISNUMBER(Z$10),IFERROR(SUMPRODUCT((B_CKDATE&gt;=Z$10)*(B_CKDATE&lt;Z$10+7)*ISNUMBER(B_CKDATA)*B_INTYPE,B_CKDATA)/SUMPRODUCT((B_CKDATE&gt;=Z$10)*(B_CKDATE&lt;Z$10+7)*ISNUMBER(B_CKDATA)*B_INTYPE),""),"")</f>
        <v/>
      </c>
      <c r="AA15" s="302" t="str">
        <f>IF(ISNUMBER(AA$10),IFERROR(SUMPRODUCT((B_CKDATE&gt;=AA$10)*(B_CKDATE&lt;AA$10+7)*ISNUMBER(B_CKDATA)*B_INTYPE,B_CKDATA)/SUMPRODUCT((B_CKDATE&gt;=AA$10)*(B_CKDATE&lt;AA$10+7)*ISNUMBER(B_CKDATA)*B_INTYPE),""),"")</f>
        <v/>
      </c>
      <c r="AB15" s="302" t="str">
        <f>IF(ISNUMBER(AB$10),IFERROR(SUMPRODUCT((B_CKDATE&gt;=AB$10)*(B_CKDATE&lt;AB$10+7)*ISNUMBER(B_CKDATA)*B_INTYPE,B_CKDATA)/SUMPRODUCT((B_CKDATE&gt;=AB$10)*(B_CKDATE&lt;AB$10+7)*ISNUMBER(B_CKDATA)*B_INTYPE),""),"")</f>
        <v/>
      </c>
      <c r="AC15" s="302" t="str">
        <f>IF(ISNUMBER(AC$10),IFERROR(SUMPRODUCT((B_CKDATE&gt;=AC$10)*(B_CKDATE&lt;AC$10+7)*ISNUMBER(B_CKDATA)*B_INTYPE,B_CKDATA)/SUMPRODUCT((B_CKDATE&gt;=AC$10)*(B_CKDATE&lt;AC$10+7)*ISNUMBER(B_CKDATA)*B_INTYPE),""),"")</f>
        <v/>
      </c>
      <c r="AD15" s="302" t="str">
        <f>IF(ISNUMBER(AD$10),IFERROR(SUMPRODUCT((B_CKDATE&gt;=AD$10)*(B_CKDATE&lt;AD$10+7)*ISNUMBER(B_CKDATA)*B_INTYPE,B_CKDATA)/SUMPRODUCT((B_CKDATE&gt;=AD$10)*(B_CKDATE&lt;AD$10+7)*ISNUMBER(B_CKDATA)*B_INTYPE),""),"")</f>
        <v/>
      </c>
      <c r="AE15" s="302" t="str">
        <f>IF(ISNUMBER(AE$10),IFERROR(SUMPRODUCT((B_CKDATE&gt;=AE$10)*(B_CKDATE&lt;AE$10+7)*ISNUMBER(B_CKDATA)*B_INTYPE,B_CKDATA)/SUMPRODUCT((B_CKDATE&gt;=AE$10)*(B_CKDATE&lt;AE$10+7)*ISNUMBER(B_CKDATA)*B_INTYPE),""),"")</f>
        <v/>
      </c>
      <c r="AF15" s="302" t="str">
        <f>IF(ISNUMBER(AF$10),IFERROR(SUMPRODUCT((B_CKDATE&gt;=AF$10)*(B_CKDATE&lt;AF$10+7)*ISNUMBER(B_CKDATA)*B_INTYPE,B_CKDATA)/SUMPRODUCT((B_CKDATE&gt;=AF$10)*(B_CKDATE&lt;AF$10+7)*ISNUMBER(B_CKDATA)*B_INTYPE),""),"")</f>
        <v/>
      </c>
      <c r="AG15" s="302" t="str">
        <f>IF(ISNUMBER(AG$10),IFERROR(SUMPRODUCT((B_CKDATE&gt;=AG$10)*(B_CKDATE&lt;AG$10+7)*ISNUMBER(B_CKDATA)*B_INTYPE,B_CKDATA)/SUMPRODUCT((B_CKDATE&gt;=AG$10)*(B_CKDATE&lt;AG$10+7)*ISNUMBER(B_CKDATA)*B_INTYPE),""),"")</f>
        <v/>
      </c>
      <c r="AH15" s="302" t="str">
        <f>IF(ISNUMBER(AH$10),IFERROR(SUMPRODUCT((B_CKDATE&gt;=AH$10)*(B_CKDATE&lt;AH$10+7)*ISNUMBER(B_CKDATA)*B_INTYPE,B_CKDATA)/SUMPRODUCT((B_CKDATE&gt;=AH$10)*(B_CKDATE&lt;AH$10+7)*ISNUMBER(B_CKDATA)*B_INTYPE),""),"")</f>
        <v/>
      </c>
      <c r="AI15" s="302" t="str">
        <f>IF(ISNUMBER(AI$10),IFERROR(SUMPRODUCT((B_CKDATE&gt;=AI$10)*(B_CKDATE&lt;AI$10+7)*ISNUMBER(B_CKDATA)*B_INTYPE,B_CKDATA)/SUMPRODUCT((B_CKDATE&gt;=AI$10)*(B_CKDATE&lt;AI$10+7)*ISNUMBER(B_CKDATA)*B_INTYPE),""),"")</f>
        <v/>
      </c>
    </row>
    <row r="16" spans="2:49" s="187" customFormat="1" x14ac:dyDescent="0.2">
      <c r="B16" s="266"/>
      <c r="C16" s="267" t="s">
        <v>360</v>
      </c>
      <c r="D16" s="301" t="str">
        <f>Closing!D4</f>
        <v/>
      </c>
      <c r="E16" s="302" t="str">
        <f>IF(ISNUMBER(E$10),IFERROR(SUMPRODUCT((C_CKDATE&gt;=E$10)*(C_CKDATE&lt;E$10+7)*ISNUMBER(C_CKDATA)*C_INTYPE,C_CKDATA)/SUMPRODUCT((C_CKDATE&gt;=E$10)*(C_CKDATE&lt;E$10+7)*ISNUMBER(C_CKDATA)*C_INTYPE),""),"")</f>
        <v/>
      </c>
      <c r="F16" s="302" t="str">
        <f>IF(ISNUMBER(F$10),IFERROR(SUMPRODUCT((C_CKDATE&gt;=F$10)*(C_CKDATE&lt;F$10+7)*ISNUMBER(C_CKDATA)*C_INTYPE,C_CKDATA)/SUMPRODUCT((C_CKDATE&gt;=F$10)*(C_CKDATE&lt;F$10+7)*ISNUMBER(C_CKDATA)*C_INTYPE),""),"")</f>
        <v/>
      </c>
      <c r="G16" s="302" t="str">
        <f>IF(ISNUMBER(G$10),IFERROR(SUMPRODUCT((C_CKDATE&gt;=G$10)*(C_CKDATE&lt;G$10+7)*ISNUMBER(C_CKDATA)*C_INTYPE,C_CKDATA)/SUMPRODUCT((C_CKDATE&gt;=G$10)*(C_CKDATE&lt;G$10+7)*ISNUMBER(C_CKDATA)*C_INTYPE),""),"")</f>
        <v/>
      </c>
      <c r="H16" s="302" t="str">
        <f>IF(ISNUMBER(H$10),IFERROR(SUMPRODUCT((C_CKDATE&gt;=H$10)*(C_CKDATE&lt;H$10+7)*ISNUMBER(C_CKDATA)*C_INTYPE,C_CKDATA)/SUMPRODUCT((C_CKDATE&gt;=H$10)*(C_CKDATE&lt;H$10+7)*ISNUMBER(C_CKDATA)*C_INTYPE),""),"")</f>
        <v/>
      </c>
      <c r="I16" s="302" t="str">
        <f>IF(ISNUMBER(I$10),IFERROR(SUMPRODUCT((C_CKDATE&gt;=I$10)*(C_CKDATE&lt;I$10+7)*ISNUMBER(C_CKDATA)*C_INTYPE,C_CKDATA)/SUMPRODUCT((C_CKDATE&gt;=I$10)*(C_CKDATE&lt;I$10+7)*ISNUMBER(C_CKDATA)*C_INTYPE),""),"")</f>
        <v/>
      </c>
      <c r="J16" s="302" t="str">
        <f>IF(ISNUMBER(J$10),IFERROR(SUMPRODUCT((C_CKDATE&gt;=J$10)*(C_CKDATE&lt;J$10+7)*ISNUMBER(C_CKDATA)*C_INTYPE,C_CKDATA)/SUMPRODUCT((C_CKDATE&gt;=J$10)*(C_CKDATE&lt;J$10+7)*ISNUMBER(C_CKDATA)*C_INTYPE),""),"")</f>
        <v/>
      </c>
      <c r="K16" s="302" t="str">
        <f>IF(ISNUMBER(K$10),IFERROR(SUMPRODUCT((C_CKDATE&gt;=K$10)*(C_CKDATE&lt;K$10+7)*ISNUMBER(C_CKDATA)*C_INTYPE,C_CKDATA)/SUMPRODUCT((C_CKDATE&gt;=K$10)*(C_CKDATE&lt;K$10+7)*ISNUMBER(C_CKDATA)*C_INTYPE),""),"")</f>
        <v/>
      </c>
      <c r="L16" s="302" t="str">
        <f>IF(ISNUMBER(L$10),IFERROR(SUMPRODUCT((C_CKDATE&gt;=L$10)*(C_CKDATE&lt;L$10+7)*ISNUMBER(C_CKDATA)*C_INTYPE,C_CKDATA)/SUMPRODUCT((C_CKDATE&gt;=L$10)*(C_CKDATE&lt;L$10+7)*ISNUMBER(C_CKDATA)*C_INTYPE),""),"")</f>
        <v/>
      </c>
      <c r="M16" s="302" t="str">
        <f>IF(ISNUMBER(M$10),IFERROR(SUMPRODUCT((C_CKDATE&gt;=M$10)*(C_CKDATE&lt;M$10+7)*ISNUMBER(C_CKDATA)*C_INTYPE,C_CKDATA)/SUMPRODUCT((C_CKDATE&gt;=M$10)*(C_CKDATE&lt;M$10+7)*ISNUMBER(C_CKDATA)*C_INTYPE),""),"")</f>
        <v/>
      </c>
      <c r="N16" s="302" t="str">
        <f>IF(ISNUMBER(N$10),IFERROR(SUMPRODUCT((C_CKDATE&gt;=N$10)*(C_CKDATE&lt;N$10+7)*ISNUMBER(C_CKDATA)*C_INTYPE,C_CKDATA)/SUMPRODUCT((C_CKDATE&gt;=N$10)*(C_CKDATE&lt;N$10+7)*ISNUMBER(C_CKDATA)*C_INTYPE),""),"")</f>
        <v/>
      </c>
      <c r="O16" s="302" t="str">
        <f>IF(ISNUMBER(O$10),IFERROR(SUMPRODUCT((C_CKDATE&gt;=O$10)*(C_CKDATE&lt;O$10+7)*ISNUMBER(C_CKDATA)*C_INTYPE,C_CKDATA)/SUMPRODUCT((C_CKDATE&gt;=O$10)*(C_CKDATE&lt;O$10+7)*ISNUMBER(C_CKDATA)*C_INTYPE),""),"")</f>
        <v/>
      </c>
      <c r="P16" s="302" t="str">
        <f>IF(ISNUMBER(P$10),IFERROR(SUMPRODUCT((C_CKDATE&gt;=P$10)*(C_CKDATE&lt;P$10+7)*ISNUMBER(C_CKDATA)*C_INTYPE,C_CKDATA)/SUMPRODUCT((C_CKDATE&gt;=P$10)*(C_CKDATE&lt;P$10+7)*ISNUMBER(C_CKDATA)*C_INTYPE),""),"")</f>
        <v/>
      </c>
      <c r="Q16" s="302" t="str">
        <f>IF(ISNUMBER(Q$10),IFERROR(SUMPRODUCT((C_CKDATE&gt;=Q$10)*(C_CKDATE&lt;Q$10+7)*ISNUMBER(C_CKDATA)*C_INTYPE,C_CKDATA)/SUMPRODUCT((C_CKDATE&gt;=Q$10)*(C_CKDATE&lt;Q$10+7)*ISNUMBER(C_CKDATA)*C_INTYPE),""),"")</f>
        <v/>
      </c>
      <c r="R16" s="302" t="str">
        <f>IF(ISNUMBER(R$10),IFERROR(SUMPRODUCT((C_CKDATE&gt;=R$10)*(C_CKDATE&lt;R$10+7)*ISNUMBER(C_CKDATA)*C_INTYPE,C_CKDATA)/SUMPRODUCT((C_CKDATE&gt;=R$10)*(C_CKDATE&lt;R$10+7)*ISNUMBER(C_CKDATA)*C_INTYPE),""),"")</f>
        <v/>
      </c>
      <c r="S16" s="302" t="str">
        <f>IF(ISNUMBER(S$10),IFERROR(SUMPRODUCT((C_CKDATE&gt;=S$10)*(C_CKDATE&lt;S$10+7)*ISNUMBER(C_CKDATA)*C_INTYPE,C_CKDATA)/SUMPRODUCT((C_CKDATE&gt;=S$10)*(C_CKDATE&lt;S$10+7)*ISNUMBER(C_CKDATA)*C_INTYPE),""),"")</f>
        <v/>
      </c>
      <c r="T16" s="302" t="str">
        <f>IF(ISNUMBER(T$10),IFERROR(SUMPRODUCT((C_CKDATE&gt;=T$10)*(C_CKDATE&lt;T$10+7)*ISNUMBER(C_CKDATA)*C_INTYPE,C_CKDATA)/SUMPRODUCT((C_CKDATE&gt;=T$10)*(C_CKDATE&lt;T$10+7)*ISNUMBER(C_CKDATA)*C_INTYPE),""),"")</f>
        <v/>
      </c>
      <c r="U16" s="302" t="str">
        <f>IF(ISNUMBER(U$10),IFERROR(SUMPRODUCT((C_CKDATE&gt;=U$10)*(C_CKDATE&lt;U$10+7)*ISNUMBER(C_CKDATA)*C_INTYPE,C_CKDATA)/SUMPRODUCT((C_CKDATE&gt;=U$10)*(C_CKDATE&lt;U$10+7)*ISNUMBER(C_CKDATA)*C_INTYPE),""),"")</f>
        <v/>
      </c>
      <c r="V16" s="302" t="str">
        <f>IF(ISNUMBER(V$10),IFERROR(SUMPRODUCT((C_CKDATE&gt;=V$10)*(C_CKDATE&lt;V$10+7)*ISNUMBER(C_CKDATA)*C_INTYPE,C_CKDATA)/SUMPRODUCT((C_CKDATE&gt;=V$10)*(C_CKDATE&lt;V$10+7)*ISNUMBER(C_CKDATA)*C_INTYPE),""),"")</f>
        <v/>
      </c>
      <c r="W16" s="302" t="str">
        <f>IF(ISNUMBER(W$10),IFERROR(SUMPRODUCT((C_CKDATE&gt;=W$10)*(C_CKDATE&lt;W$10+7)*ISNUMBER(C_CKDATA)*C_INTYPE,C_CKDATA)/SUMPRODUCT((C_CKDATE&gt;=W$10)*(C_CKDATE&lt;W$10+7)*ISNUMBER(C_CKDATA)*C_INTYPE),""),"")</f>
        <v/>
      </c>
      <c r="X16" s="302" t="str">
        <f>IF(ISNUMBER(X$10),IFERROR(SUMPRODUCT((C_CKDATE&gt;=X$10)*(C_CKDATE&lt;X$10+7)*ISNUMBER(C_CKDATA)*C_INTYPE,C_CKDATA)/SUMPRODUCT((C_CKDATE&gt;=X$10)*(C_CKDATE&lt;X$10+7)*ISNUMBER(C_CKDATA)*C_INTYPE),""),"")</f>
        <v/>
      </c>
      <c r="Y16" s="302" t="str">
        <f>IF(ISNUMBER(Y$10),IFERROR(SUMPRODUCT((C_CKDATE&gt;=Y$10)*(C_CKDATE&lt;Y$10+7)*ISNUMBER(C_CKDATA)*C_INTYPE,C_CKDATA)/SUMPRODUCT((C_CKDATE&gt;=Y$10)*(C_CKDATE&lt;Y$10+7)*ISNUMBER(C_CKDATA)*C_INTYPE),""),"")</f>
        <v/>
      </c>
      <c r="Z16" s="302" t="str">
        <f>IF(ISNUMBER(Z$10),IFERROR(SUMPRODUCT((C_CKDATE&gt;=Z$10)*(C_CKDATE&lt;Z$10+7)*ISNUMBER(C_CKDATA)*C_INTYPE,C_CKDATA)/SUMPRODUCT((C_CKDATE&gt;=Z$10)*(C_CKDATE&lt;Z$10+7)*ISNUMBER(C_CKDATA)*C_INTYPE),""),"")</f>
        <v/>
      </c>
      <c r="AA16" s="302" t="str">
        <f>IF(ISNUMBER(AA$10),IFERROR(SUMPRODUCT((C_CKDATE&gt;=AA$10)*(C_CKDATE&lt;AA$10+7)*ISNUMBER(C_CKDATA)*C_INTYPE,C_CKDATA)/SUMPRODUCT((C_CKDATE&gt;=AA$10)*(C_CKDATE&lt;AA$10+7)*ISNUMBER(C_CKDATA)*C_INTYPE),""),"")</f>
        <v/>
      </c>
      <c r="AB16" s="302" t="str">
        <f>IF(ISNUMBER(AB$10),IFERROR(SUMPRODUCT((C_CKDATE&gt;=AB$10)*(C_CKDATE&lt;AB$10+7)*ISNUMBER(C_CKDATA)*C_INTYPE,C_CKDATA)/SUMPRODUCT((C_CKDATE&gt;=AB$10)*(C_CKDATE&lt;AB$10+7)*ISNUMBER(C_CKDATA)*C_INTYPE),""),"")</f>
        <v/>
      </c>
      <c r="AC16" s="302" t="str">
        <f>IF(ISNUMBER(AC$10),IFERROR(SUMPRODUCT((C_CKDATE&gt;=AC$10)*(C_CKDATE&lt;AC$10+7)*ISNUMBER(C_CKDATA)*C_INTYPE,C_CKDATA)/SUMPRODUCT((C_CKDATE&gt;=AC$10)*(C_CKDATE&lt;AC$10+7)*ISNUMBER(C_CKDATA)*C_INTYPE),""),"")</f>
        <v/>
      </c>
      <c r="AD16" s="302" t="str">
        <f>IF(ISNUMBER(AD$10),IFERROR(SUMPRODUCT((C_CKDATE&gt;=AD$10)*(C_CKDATE&lt;AD$10+7)*ISNUMBER(C_CKDATA)*C_INTYPE,C_CKDATA)/SUMPRODUCT((C_CKDATE&gt;=AD$10)*(C_CKDATE&lt;AD$10+7)*ISNUMBER(C_CKDATA)*C_INTYPE),""),"")</f>
        <v/>
      </c>
      <c r="AE16" s="302" t="str">
        <f>IF(ISNUMBER(AE$10),IFERROR(SUMPRODUCT((C_CKDATE&gt;=AE$10)*(C_CKDATE&lt;AE$10+7)*ISNUMBER(C_CKDATA)*C_INTYPE,C_CKDATA)/SUMPRODUCT((C_CKDATE&gt;=AE$10)*(C_CKDATE&lt;AE$10+7)*ISNUMBER(C_CKDATA)*C_INTYPE),""),"")</f>
        <v/>
      </c>
      <c r="AF16" s="302" t="str">
        <f>IF(ISNUMBER(AF$10),IFERROR(SUMPRODUCT((C_CKDATE&gt;=AF$10)*(C_CKDATE&lt;AF$10+7)*ISNUMBER(C_CKDATA)*C_INTYPE,C_CKDATA)/SUMPRODUCT((C_CKDATE&gt;=AF$10)*(C_CKDATE&lt;AF$10+7)*ISNUMBER(C_CKDATA)*C_INTYPE),""),"")</f>
        <v/>
      </c>
      <c r="AG16" s="302" t="str">
        <f>IF(ISNUMBER(AG$10),IFERROR(SUMPRODUCT((C_CKDATE&gt;=AG$10)*(C_CKDATE&lt;AG$10+7)*ISNUMBER(C_CKDATA)*C_INTYPE,C_CKDATA)/SUMPRODUCT((C_CKDATE&gt;=AG$10)*(C_CKDATE&lt;AG$10+7)*ISNUMBER(C_CKDATA)*C_INTYPE),""),"")</f>
        <v/>
      </c>
      <c r="AH16" s="302" t="str">
        <f>IF(ISNUMBER(AH$10),IFERROR(SUMPRODUCT((C_CKDATE&gt;=AH$10)*(C_CKDATE&lt;AH$10+7)*ISNUMBER(C_CKDATA)*C_INTYPE,C_CKDATA)/SUMPRODUCT((C_CKDATE&gt;=AH$10)*(C_CKDATE&lt;AH$10+7)*ISNUMBER(C_CKDATA)*C_INTYPE),""),"")</f>
        <v/>
      </c>
      <c r="AI16" s="302" t="str">
        <f>IF(ISNUMBER(AI$10),IFERROR(SUMPRODUCT((C_CKDATE&gt;=AI$10)*(C_CKDATE&lt;AI$10+7)*ISNUMBER(C_CKDATA)*C_INTYPE,C_CKDATA)/SUMPRODUCT((C_CKDATE&gt;=AI$10)*(C_CKDATE&lt;AI$10+7)*ISNUMBER(C_CKDATA)*C_INTYPE),""),"")</f>
        <v/>
      </c>
    </row>
    <row r="17" spans="2:38" x14ac:dyDescent="0.2">
      <c r="B17" s="475" t="s">
        <v>434</v>
      </c>
      <c r="C17" s="475"/>
      <c r="D17" s="301" t="str">
        <f>IFERROR((SUMPRODUCT(ISNUMBER(P_CKDATE)*ISNUMBER(P_CKDATA)*P_PM*P_INTYPE,P_CKDATA)+SUMPRODUCT(ISNUMBER(M_CKDATE)*ISNUMBER(M_CKDATA)*M_PM*M_INTYPE,M_CKDATA)+SUMPRODUCT(ISNUMBER(W_CKDATE)*ISNUMBER(W_CKDATA)*W_PM*W_INTYPE,W_CKDATA)+SUMPRODUCT(ISNUMBER(B_CKDATE)*ISNUMBER(B_CKDATA)*B_PM*B_INTYPE,B_CKDATA)+SUMPRODUCT(ISNUMBER(C_CKDATE)*ISNUMBER(C_CKDATA)*C_PM*C_INTYPE,C_CKDATA))/(SUMPRODUCT(ISNUMBER(P_CKDATE)*ISNUMBER(P_CKDATA)*P_PM*P_INTYPE)+SUMPRODUCT(ISNUMBER(M_CKDATE)*ISNUMBER(M_CKDATA)*M_PM*M_INTYPE)+SUMPRODUCT(ISNUMBER(W_CKDATE)*ISNUMBER(W_CKDATA)*W_PM*W_INTYPE)+SUMPRODUCT(ISNUMBER(B_CKDATE)*ISNUMBER(B_CKDATA)*B_PM*B_INTYPE)+SUMPRODUCT(ISNUMBER(C_CKDATE)*ISNUMBER(C_CKDATA)*C_PM*C_INTYPE)),"")</f>
        <v/>
      </c>
      <c r="E17" s="301" t="str">
        <f>IF(ISNUMBER(E$10),IFERROR((SUMPRODUCT((P_CKDATE&gt;=E$10)*(P_CKDATE&lt;E$10+7)*ISNUMBER(P_CKDATA)*P_PM*P_INTYPE,P_CKDATA)+SUMPRODUCT((M_CKDATE&gt;=E$10)*(M_CKDATE&lt;E$10+7)*ISNUMBER(M_CKDATA)*M_PM*M_INTYPE,M_CKDATA)+SUMPRODUCT((W_CKDATE&gt;=E$10)*(W_CKDATE&lt;E$10+7)*ISNUMBER(W_CKDATA)*W_PM*W_INTYPE,W_CKDATA)+SUMPRODUCT((B_CKDATE&gt;=E$10)*(B_CKDATE&lt;E$10+7)*ISNUMBER(B_CKDATA)*B_PM*B_INTYPE,B_CKDATA)+SUMPRODUCT((C_CKDATE&gt;=E$10)*(C_CKDATE&lt;E$10+7)*ISNUMBER(C_CKDATA)*C_PM*C_INTYPE,C_CKDATA))/(SUMPRODUCT((P_CKDATE&gt;=E$10)*(P_CKDATE&lt;E$10+7)*ISNUMBER(P_CKDATA)*P_PM*P_INTYPE)+SUMPRODUCT((M_CKDATE&gt;=E$10)*(M_CKDATE&lt;E$10+7)*ISNUMBER(M_CKDATA)*M_PM*M_INTYPE)+SUMPRODUCT((W_CKDATE&gt;=E$10)*(W_CKDATE&lt;E$10+7)*ISNUMBER(W_CKDATA)*W_PM*W_INTYPE)+SUMPRODUCT((B_CKDATE&gt;=E$10)*(B_CKDATE&lt;E$10+7)*ISNUMBER(B_CKDATA)*B_PM*B_INTYPE)+SUMPRODUCT((C_CKDATE&gt;=E$10)*(C_CKDATE&lt;E$10+7)*ISNUMBER(C_CKDATA)*C_PM*C_INTYPE)),""),"")</f>
        <v/>
      </c>
      <c r="F17" s="301" t="str">
        <f>IF(ISNUMBER(F$10),IFERROR((SUMPRODUCT((P_CKDATE&gt;=F$10)*(P_CKDATE&lt;F$10+7)*ISNUMBER(P_CKDATA)*P_PM*P_INTYPE,P_CKDATA)+SUMPRODUCT((M_CKDATE&gt;=F$10)*(M_CKDATE&lt;F$10+7)*ISNUMBER(M_CKDATA)*M_PM*M_INTYPE,M_CKDATA)+SUMPRODUCT((W_CKDATE&gt;=F$10)*(W_CKDATE&lt;F$10+7)*ISNUMBER(W_CKDATA)*W_PM*W_INTYPE,W_CKDATA)+SUMPRODUCT((B_CKDATE&gt;=F$10)*(B_CKDATE&lt;F$10+7)*ISNUMBER(B_CKDATA)*B_PM*B_INTYPE,B_CKDATA)+SUMPRODUCT((C_CKDATE&gt;=F$10)*(C_CKDATE&lt;F$10+7)*ISNUMBER(C_CKDATA)*C_PM*C_INTYPE,C_CKDATA))/(SUMPRODUCT((P_CKDATE&gt;=F$10)*(P_CKDATE&lt;F$10+7)*ISNUMBER(P_CKDATA)*P_PM*P_INTYPE)+SUMPRODUCT((M_CKDATE&gt;=F$10)*(M_CKDATE&lt;F$10+7)*ISNUMBER(M_CKDATA)*M_PM*M_INTYPE)+SUMPRODUCT((W_CKDATE&gt;=F$10)*(W_CKDATE&lt;F$10+7)*ISNUMBER(W_CKDATA)*W_PM*W_INTYPE)+SUMPRODUCT((B_CKDATE&gt;=F$10)*(B_CKDATE&lt;F$10+7)*ISNUMBER(B_CKDATA)*B_PM*B_INTYPE)+SUMPRODUCT((C_CKDATE&gt;=F$10)*(C_CKDATE&lt;F$10+7)*ISNUMBER(C_CKDATA)*C_PM*C_INTYPE)),""),"")</f>
        <v/>
      </c>
      <c r="G17" s="301" t="str">
        <f>IF(ISNUMBER(G$10),IFERROR((SUMPRODUCT((P_CKDATE&gt;=G$10)*(P_CKDATE&lt;G$10+7)*ISNUMBER(P_CKDATA)*P_PM*P_INTYPE,P_CKDATA)+SUMPRODUCT((M_CKDATE&gt;=G$10)*(M_CKDATE&lt;G$10+7)*ISNUMBER(M_CKDATA)*M_PM*M_INTYPE,M_CKDATA)+SUMPRODUCT((W_CKDATE&gt;=G$10)*(W_CKDATE&lt;G$10+7)*ISNUMBER(W_CKDATA)*W_PM*W_INTYPE,W_CKDATA)+SUMPRODUCT((B_CKDATE&gt;=G$10)*(B_CKDATE&lt;G$10+7)*ISNUMBER(B_CKDATA)*B_PM*B_INTYPE,B_CKDATA)+SUMPRODUCT((C_CKDATE&gt;=G$10)*(C_CKDATE&lt;G$10+7)*ISNUMBER(C_CKDATA)*C_PM*C_INTYPE,C_CKDATA))/(SUMPRODUCT((P_CKDATE&gt;=G$10)*(P_CKDATE&lt;G$10+7)*ISNUMBER(P_CKDATA)*P_PM*P_INTYPE)+SUMPRODUCT((M_CKDATE&gt;=G$10)*(M_CKDATE&lt;G$10+7)*ISNUMBER(M_CKDATA)*M_PM*M_INTYPE)+SUMPRODUCT((W_CKDATE&gt;=G$10)*(W_CKDATE&lt;G$10+7)*ISNUMBER(W_CKDATA)*W_PM*W_INTYPE)+SUMPRODUCT((B_CKDATE&gt;=G$10)*(B_CKDATE&lt;G$10+7)*ISNUMBER(B_CKDATA)*B_PM*B_INTYPE)+SUMPRODUCT((C_CKDATE&gt;=G$10)*(C_CKDATE&lt;G$10+7)*ISNUMBER(C_CKDATA)*C_PM*C_INTYPE)),""),"")</f>
        <v/>
      </c>
      <c r="H17" s="301" t="str">
        <f>IF(ISNUMBER(H$10),IFERROR((SUMPRODUCT((P_CKDATE&gt;=H$10)*(P_CKDATE&lt;H$10+7)*ISNUMBER(P_CKDATA)*P_PM*P_INTYPE,P_CKDATA)+SUMPRODUCT((M_CKDATE&gt;=H$10)*(M_CKDATE&lt;H$10+7)*ISNUMBER(M_CKDATA)*M_PM*M_INTYPE,M_CKDATA)+SUMPRODUCT((W_CKDATE&gt;=H$10)*(W_CKDATE&lt;H$10+7)*ISNUMBER(W_CKDATA)*W_PM*W_INTYPE,W_CKDATA)+SUMPRODUCT((B_CKDATE&gt;=H$10)*(B_CKDATE&lt;H$10+7)*ISNUMBER(B_CKDATA)*B_PM*B_INTYPE,B_CKDATA)+SUMPRODUCT((C_CKDATE&gt;=H$10)*(C_CKDATE&lt;H$10+7)*ISNUMBER(C_CKDATA)*C_PM*C_INTYPE,C_CKDATA))/(SUMPRODUCT((P_CKDATE&gt;=H$10)*(P_CKDATE&lt;H$10+7)*ISNUMBER(P_CKDATA)*P_PM*P_INTYPE)+SUMPRODUCT((M_CKDATE&gt;=H$10)*(M_CKDATE&lt;H$10+7)*ISNUMBER(M_CKDATA)*M_PM*M_INTYPE)+SUMPRODUCT((W_CKDATE&gt;=H$10)*(W_CKDATE&lt;H$10+7)*ISNUMBER(W_CKDATA)*W_PM*W_INTYPE)+SUMPRODUCT((B_CKDATE&gt;=H$10)*(B_CKDATE&lt;H$10+7)*ISNUMBER(B_CKDATA)*B_PM*B_INTYPE)+SUMPRODUCT((C_CKDATE&gt;=H$10)*(C_CKDATE&lt;H$10+7)*ISNUMBER(C_CKDATA)*C_PM*C_INTYPE)),""),"")</f>
        <v/>
      </c>
      <c r="I17" s="301" t="str">
        <f>IF(ISNUMBER(I$10),IFERROR((SUMPRODUCT((P_CKDATE&gt;=I$10)*(P_CKDATE&lt;I$10+7)*ISNUMBER(P_CKDATA)*P_PM*P_INTYPE,P_CKDATA)+SUMPRODUCT((M_CKDATE&gt;=I$10)*(M_CKDATE&lt;I$10+7)*ISNUMBER(M_CKDATA)*M_PM*M_INTYPE,M_CKDATA)+SUMPRODUCT((W_CKDATE&gt;=I$10)*(W_CKDATE&lt;I$10+7)*ISNUMBER(W_CKDATA)*W_PM*W_INTYPE,W_CKDATA)+SUMPRODUCT((B_CKDATE&gt;=I$10)*(B_CKDATE&lt;I$10+7)*ISNUMBER(B_CKDATA)*B_PM*B_INTYPE,B_CKDATA)+SUMPRODUCT((C_CKDATE&gt;=I$10)*(C_CKDATE&lt;I$10+7)*ISNUMBER(C_CKDATA)*C_PM*C_INTYPE,C_CKDATA))/(SUMPRODUCT((P_CKDATE&gt;=I$10)*(P_CKDATE&lt;I$10+7)*ISNUMBER(P_CKDATA)*P_PM*P_INTYPE)+SUMPRODUCT((M_CKDATE&gt;=I$10)*(M_CKDATE&lt;I$10+7)*ISNUMBER(M_CKDATA)*M_PM*M_INTYPE)+SUMPRODUCT((W_CKDATE&gt;=I$10)*(W_CKDATE&lt;I$10+7)*ISNUMBER(W_CKDATA)*W_PM*W_INTYPE)+SUMPRODUCT((B_CKDATE&gt;=I$10)*(B_CKDATE&lt;I$10+7)*ISNUMBER(B_CKDATA)*B_PM*B_INTYPE)+SUMPRODUCT((C_CKDATE&gt;=I$10)*(C_CKDATE&lt;I$10+7)*ISNUMBER(C_CKDATA)*C_PM*C_INTYPE)),""),"")</f>
        <v/>
      </c>
      <c r="J17" s="301" t="str">
        <f>IF(ISNUMBER(J$10),IFERROR((SUMPRODUCT((P_CKDATE&gt;=J$10)*(P_CKDATE&lt;J$10+7)*ISNUMBER(P_CKDATA)*P_PM*P_INTYPE,P_CKDATA)+SUMPRODUCT((M_CKDATE&gt;=J$10)*(M_CKDATE&lt;J$10+7)*ISNUMBER(M_CKDATA)*M_PM*M_INTYPE,M_CKDATA)+SUMPRODUCT((W_CKDATE&gt;=J$10)*(W_CKDATE&lt;J$10+7)*ISNUMBER(W_CKDATA)*W_PM*W_INTYPE,W_CKDATA)+SUMPRODUCT((B_CKDATE&gt;=J$10)*(B_CKDATE&lt;J$10+7)*ISNUMBER(B_CKDATA)*B_PM*B_INTYPE,B_CKDATA)+SUMPRODUCT((C_CKDATE&gt;=J$10)*(C_CKDATE&lt;J$10+7)*ISNUMBER(C_CKDATA)*C_PM*C_INTYPE,C_CKDATA))/(SUMPRODUCT((P_CKDATE&gt;=J$10)*(P_CKDATE&lt;J$10+7)*ISNUMBER(P_CKDATA)*P_PM*P_INTYPE)+SUMPRODUCT((M_CKDATE&gt;=J$10)*(M_CKDATE&lt;J$10+7)*ISNUMBER(M_CKDATA)*M_PM*M_INTYPE)+SUMPRODUCT((W_CKDATE&gt;=J$10)*(W_CKDATE&lt;J$10+7)*ISNUMBER(W_CKDATA)*W_PM*W_INTYPE)+SUMPRODUCT((B_CKDATE&gt;=J$10)*(B_CKDATE&lt;J$10+7)*ISNUMBER(B_CKDATA)*B_PM*B_INTYPE)+SUMPRODUCT((C_CKDATE&gt;=J$10)*(C_CKDATE&lt;J$10+7)*ISNUMBER(C_CKDATA)*C_PM*C_INTYPE)),""),"")</f>
        <v/>
      </c>
      <c r="K17" s="301" t="str">
        <f>IF(ISNUMBER(K$10),IFERROR((SUMPRODUCT((P_CKDATE&gt;=K$10)*(P_CKDATE&lt;K$10+7)*ISNUMBER(P_CKDATA)*P_PM*P_INTYPE,P_CKDATA)+SUMPRODUCT((M_CKDATE&gt;=K$10)*(M_CKDATE&lt;K$10+7)*ISNUMBER(M_CKDATA)*M_PM*M_INTYPE,M_CKDATA)+SUMPRODUCT((W_CKDATE&gt;=K$10)*(W_CKDATE&lt;K$10+7)*ISNUMBER(W_CKDATA)*W_PM*W_INTYPE,W_CKDATA)+SUMPRODUCT((B_CKDATE&gt;=K$10)*(B_CKDATE&lt;K$10+7)*ISNUMBER(B_CKDATA)*B_PM*B_INTYPE,B_CKDATA)+SUMPRODUCT((C_CKDATE&gt;=K$10)*(C_CKDATE&lt;K$10+7)*ISNUMBER(C_CKDATA)*C_PM*C_INTYPE,C_CKDATA))/(SUMPRODUCT((P_CKDATE&gt;=K$10)*(P_CKDATE&lt;K$10+7)*ISNUMBER(P_CKDATA)*P_PM*P_INTYPE)+SUMPRODUCT((M_CKDATE&gt;=K$10)*(M_CKDATE&lt;K$10+7)*ISNUMBER(M_CKDATA)*M_PM*M_INTYPE)+SUMPRODUCT((W_CKDATE&gt;=K$10)*(W_CKDATE&lt;K$10+7)*ISNUMBER(W_CKDATA)*W_PM*W_INTYPE)+SUMPRODUCT((B_CKDATE&gt;=K$10)*(B_CKDATE&lt;K$10+7)*ISNUMBER(B_CKDATA)*B_PM*B_INTYPE)+SUMPRODUCT((C_CKDATE&gt;=K$10)*(C_CKDATE&lt;K$10+7)*ISNUMBER(C_CKDATA)*C_PM*C_INTYPE)),""),"")</f>
        <v/>
      </c>
      <c r="L17" s="301" t="str">
        <f>IF(ISNUMBER(L$10),IFERROR((SUMPRODUCT((P_CKDATE&gt;=L$10)*(P_CKDATE&lt;L$10+7)*ISNUMBER(P_CKDATA)*P_PM*P_INTYPE,P_CKDATA)+SUMPRODUCT((M_CKDATE&gt;=L$10)*(M_CKDATE&lt;L$10+7)*ISNUMBER(M_CKDATA)*M_PM*M_INTYPE,M_CKDATA)+SUMPRODUCT((W_CKDATE&gt;=L$10)*(W_CKDATE&lt;L$10+7)*ISNUMBER(W_CKDATA)*W_PM*W_INTYPE,W_CKDATA)+SUMPRODUCT((B_CKDATE&gt;=L$10)*(B_CKDATE&lt;L$10+7)*ISNUMBER(B_CKDATA)*B_PM*B_INTYPE,B_CKDATA)+SUMPRODUCT((C_CKDATE&gt;=L$10)*(C_CKDATE&lt;L$10+7)*ISNUMBER(C_CKDATA)*C_PM*C_INTYPE,C_CKDATA))/(SUMPRODUCT((P_CKDATE&gt;=L$10)*(P_CKDATE&lt;L$10+7)*ISNUMBER(P_CKDATA)*P_PM*P_INTYPE)+SUMPRODUCT((M_CKDATE&gt;=L$10)*(M_CKDATE&lt;L$10+7)*ISNUMBER(M_CKDATA)*M_PM*M_INTYPE)+SUMPRODUCT((W_CKDATE&gt;=L$10)*(W_CKDATE&lt;L$10+7)*ISNUMBER(W_CKDATA)*W_PM*W_INTYPE)+SUMPRODUCT((B_CKDATE&gt;=L$10)*(B_CKDATE&lt;L$10+7)*ISNUMBER(B_CKDATA)*B_PM*B_INTYPE)+SUMPRODUCT((C_CKDATE&gt;=L$10)*(C_CKDATE&lt;L$10+7)*ISNUMBER(C_CKDATA)*C_PM*C_INTYPE)),""),"")</f>
        <v/>
      </c>
      <c r="M17" s="301" t="str">
        <f>IF(ISNUMBER(M$10),IFERROR((SUMPRODUCT((P_CKDATE&gt;=M$10)*(P_CKDATE&lt;M$10+7)*ISNUMBER(P_CKDATA)*P_PM*P_INTYPE,P_CKDATA)+SUMPRODUCT((M_CKDATE&gt;=M$10)*(M_CKDATE&lt;M$10+7)*ISNUMBER(M_CKDATA)*M_PM*M_INTYPE,M_CKDATA)+SUMPRODUCT((W_CKDATE&gt;=M$10)*(W_CKDATE&lt;M$10+7)*ISNUMBER(W_CKDATA)*W_PM*W_INTYPE,W_CKDATA)+SUMPRODUCT((B_CKDATE&gt;=M$10)*(B_CKDATE&lt;M$10+7)*ISNUMBER(B_CKDATA)*B_PM*B_INTYPE,B_CKDATA)+SUMPRODUCT((C_CKDATE&gt;=M$10)*(C_CKDATE&lt;M$10+7)*ISNUMBER(C_CKDATA)*C_PM*C_INTYPE,C_CKDATA))/(SUMPRODUCT((P_CKDATE&gt;=M$10)*(P_CKDATE&lt;M$10+7)*ISNUMBER(P_CKDATA)*P_PM*P_INTYPE)+SUMPRODUCT((M_CKDATE&gt;=M$10)*(M_CKDATE&lt;M$10+7)*ISNUMBER(M_CKDATA)*M_PM*M_INTYPE)+SUMPRODUCT((W_CKDATE&gt;=M$10)*(W_CKDATE&lt;M$10+7)*ISNUMBER(W_CKDATA)*W_PM*W_INTYPE)+SUMPRODUCT((B_CKDATE&gt;=M$10)*(B_CKDATE&lt;M$10+7)*ISNUMBER(B_CKDATA)*B_PM*B_INTYPE)+SUMPRODUCT((C_CKDATE&gt;=M$10)*(C_CKDATE&lt;M$10+7)*ISNUMBER(C_CKDATA)*C_PM*C_INTYPE)),""),"")</f>
        <v/>
      </c>
      <c r="N17" s="301" t="str">
        <f>IF(ISNUMBER(N$10),IFERROR((SUMPRODUCT((P_CKDATE&gt;=N$10)*(P_CKDATE&lt;N$10+7)*ISNUMBER(P_CKDATA)*P_PM*P_INTYPE,P_CKDATA)+SUMPRODUCT((M_CKDATE&gt;=N$10)*(M_CKDATE&lt;N$10+7)*ISNUMBER(M_CKDATA)*M_PM*M_INTYPE,M_CKDATA)+SUMPRODUCT((W_CKDATE&gt;=N$10)*(W_CKDATE&lt;N$10+7)*ISNUMBER(W_CKDATA)*W_PM*W_INTYPE,W_CKDATA)+SUMPRODUCT((B_CKDATE&gt;=N$10)*(B_CKDATE&lt;N$10+7)*ISNUMBER(B_CKDATA)*B_PM*B_INTYPE,B_CKDATA)+SUMPRODUCT((C_CKDATE&gt;=N$10)*(C_CKDATE&lt;N$10+7)*ISNUMBER(C_CKDATA)*C_PM*C_INTYPE,C_CKDATA))/(SUMPRODUCT((P_CKDATE&gt;=N$10)*(P_CKDATE&lt;N$10+7)*ISNUMBER(P_CKDATA)*P_PM*P_INTYPE)+SUMPRODUCT((M_CKDATE&gt;=N$10)*(M_CKDATE&lt;N$10+7)*ISNUMBER(M_CKDATA)*M_PM*M_INTYPE)+SUMPRODUCT((W_CKDATE&gt;=N$10)*(W_CKDATE&lt;N$10+7)*ISNUMBER(W_CKDATA)*W_PM*W_INTYPE)+SUMPRODUCT((B_CKDATE&gt;=N$10)*(B_CKDATE&lt;N$10+7)*ISNUMBER(B_CKDATA)*B_PM*B_INTYPE)+SUMPRODUCT((C_CKDATE&gt;=N$10)*(C_CKDATE&lt;N$10+7)*ISNUMBER(C_CKDATA)*C_PM*C_INTYPE)),""),"")</f>
        <v/>
      </c>
      <c r="O17" s="301" t="str">
        <f>IF(ISNUMBER(O$10),IFERROR((SUMPRODUCT((P_CKDATE&gt;=O$10)*(P_CKDATE&lt;O$10+7)*ISNUMBER(P_CKDATA)*P_PM*P_INTYPE,P_CKDATA)+SUMPRODUCT((M_CKDATE&gt;=O$10)*(M_CKDATE&lt;O$10+7)*ISNUMBER(M_CKDATA)*M_PM*M_INTYPE,M_CKDATA)+SUMPRODUCT((W_CKDATE&gt;=O$10)*(W_CKDATE&lt;O$10+7)*ISNUMBER(W_CKDATA)*W_PM*W_INTYPE,W_CKDATA)+SUMPRODUCT((B_CKDATE&gt;=O$10)*(B_CKDATE&lt;O$10+7)*ISNUMBER(B_CKDATA)*B_PM*B_INTYPE,B_CKDATA)+SUMPRODUCT((C_CKDATE&gt;=O$10)*(C_CKDATE&lt;O$10+7)*ISNUMBER(C_CKDATA)*C_PM*C_INTYPE,C_CKDATA))/(SUMPRODUCT((P_CKDATE&gt;=O$10)*(P_CKDATE&lt;O$10+7)*ISNUMBER(P_CKDATA)*P_PM*P_INTYPE)+SUMPRODUCT((M_CKDATE&gt;=O$10)*(M_CKDATE&lt;O$10+7)*ISNUMBER(M_CKDATA)*M_PM*M_INTYPE)+SUMPRODUCT((W_CKDATE&gt;=O$10)*(W_CKDATE&lt;O$10+7)*ISNUMBER(W_CKDATA)*W_PM*W_INTYPE)+SUMPRODUCT((B_CKDATE&gt;=O$10)*(B_CKDATE&lt;O$10+7)*ISNUMBER(B_CKDATA)*B_PM*B_INTYPE)+SUMPRODUCT((C_CKDATE&gt;=O$10)*(C_CKDATE&lt;O$10+7)*ISNUMBER(C_CKDATA)*C_PM*C_INTYPE)),""),"")</f>
        <v/>
      </c>
      <c r="P17" s="301" t="str">
        <f>IF(ISNUMBER(P$10),IFERROR((SUMPRODUCT((P_CKDATE&gt;=P$10)*(P_CKDATE&lt;P$10+7)*ISNUMBER(P_CKDATA)*P_PM*P_INTYPE,P_CKDATA)+SUMPRODUCT((M_CKDATE&gt;=P$10)*(M_CKDATE&lt;P$10+7)*ISNUMBER(M_CKDATA)*M_PM*M_INTYPE,M_CKDATA)+SUMPRODUCT((W_CKDATE&gt;=P$10)*(W_CKDATE&lt;P$10+7)*ISNUMBER(W_CKDATA)*W_PM*W_INTYPE,W_CKDATA)+SUMPRODUCT((B_CKDATE&gt;=P$10)*(B_CKDATE&lt;P$10+7)*ISNUMBER(B_CKDATA)*B_PM*B_INTYPE,B_CKDATA)+SUMPRODUCT((C_CKDATE&gt;=P$10)*(C_CKDATE&lt;P$10+7)*ISNUMBER(C_CKDATA)*C_PM*C_INTYPE,C_CKDATA))/(SUMPRODUCT((P_CKDATE&gt;=P$10)*(P_CKDATE&lt;P$10+7)*ISNUMBER(P_CKDATA)*P_PM*P_INTYPE)+SUMPRODUCT((M_CKDATE&gt;=P$10)*(M_CKDATE&lt;P$10+7)*ISNUMBER(M_CKDATA)*M_PM*M_INTYPE)+SUMPRODUCT((W_CKDATE&gt;=P$10)*(W_CKDATE&lt;P$10+7)*ISNUMBER(W_CKDATA)*W_PM*W_INTYPE)+SUMPRODUCT((B_CKDATE&gt;=P$10)*(B_CKDATE&lt;P$10+7)*ISNUMBER(B_CKDATA)*B_PM*B_INTYPE)+SUMPRODUCT((C_CKDATE&gt;=P$10)*(C_CKDATE&lt;P$10+7)*ISNUMBER(C_CKDATA)*C_PM*C_INTYPE)),""),"")</f>
        <v/>
      </c>
      <c r="Q17" s="301" t="str">
        <f>IF(ISNUMBER(Q$10),IFERROR((SUMPRODUCT((P_CKDATE&gt;=Q$10)*(P_CKDATE&lt;Q$10+7)*ISNUMBER(P_CKDATA)*P_PM*P_INTYPE,P_CKDATA)+SUMPRODUCT((M_CKDATE&gt;=Q$10)*(M_CKDATE&lt;Q$10+7)*ISNUMBER(M_CKDATA)*M_PM*M_INTYPE,M_CKDATA)+SUMPRODUCT((W_CKDATE&gt;=Q$10)*(W_CKDATE&lt;Q$10+7)*ISNUMBER(W_CKDATA)*W_PM*W_INTYPE,W_CKDATA)+SUMPRODUCT((B_CKDATE&gt;=Q$10)*(B_CKDATE&lt;Q$10+7)*ISNUMBER(B_CKDATA)*B_PM*B_INTYPE,B_CKDATA)+SUMPRODUCT((C_CKDATE&gt;=Q$10)*(C_CKDATE&lt;Q$10+7)*ISNUMBER(C_CKDATA)*C_PM*C_INTYPE,C_CKDATA))/(SUMPRODUCT((P_CKDATE&gt;=Q$10)*(P_CKDATE&lt;Q$10+7)*ISNUMBER(P_CKDATA)*P_PM*P_INTYPE)+SUMPRODUCT((M_CKDATE&gt;=Q$10)*(M_CKDATE&lt;Q$10+7)*ISNUMBER(M_CKDATA)*M_PM*M_INTYPE)+SUMPRODUCT((W_CKDATE&gt;=Q$10)*(W_CKDATE&lt;Q$10+7)*ISNUMBER(W_CKDATA)*W_PM*W_INTYPE)+SUMPRODUCT((B_CKDATE&gt;=Q$10)*(B_CKDATE&lt;Q$10+7)*ISNUMBER(B_CKDATA)*B_PM*B_INTYPE)+SUMPRODUCT((C_CKDATE&gt;=Q$10)*(C_CKDATE&lt;Q$10+7)*ISNUMBER(C_CKDATA)*C_PM*C_INTYPE)),""),"")</f>
        <v/>
      </c>
      <c r="R17" s="301" t="str">
        <f>IF(ISNUMBER(R$10),IFERROR((SUMPRODUCT((P_CKDATE&gt;=R$10)*(P_CKDATE&lt;R$10+7)*ISNUMBER(P_CKDATA)*P_PM*P_INTYPE,P_CKDATA)+SUMPRODUCT((M_CKDATE&gt;=R$10)*(M_CKDATE&lt;R$10+7)*ISNUMBER(M_CKDATA)*M_PM*M_INTYPE,M_CKDATA)+SUMPRODUCT((W_CKDATE&gt;=R$10)*(W_CKDATE&lt;R$10+7)*ISNUMBER(W_CKDATA)*W_PM*W_INTYPE,W_CKDATA)+SUMPRODUCT((B_CKDATE&gt;=R$10)*(B_CKDATE&lt;R$10+7)*ISNUMBER(B_CKDATA)*B_PM*B_INTYPE,B_CKDATA)+SUMPRODUCT((C_CKDATE&gt;=R$10)*(C_CKDATE&lt;R$10+7)*ISNUMBER(C_CKDATA)*C_PM*C_INTYPE,C_CKDATA))/(SUMPRODUCT((P_CKDATE&gt;=R$10)*(P_CKDATE&lt;R$10+7)*ISNUMBER(P_CKDATA)*P_PM*P_INTYPE)+SUMPRODUCT((M_CKDATE&gt;=R$10)*(M_CKDATE&lt;R$10+7)*ISNUMBER(M_CKDATA)*M_PM*M_INTYPE)+SUMPRODUCT((W_CKDATE&gt;=R$10)*(W_CKDATE&lt;R$10+7)*ISNUMBER(W_CKDATA)*W_PM*W_INTYPE)+SUMPRODUCT((B_CKDATE&gt;=R$10)*(B_CKDATE&lt;R$10+7)*ISNUMBER(B_CKDATA)*B_PM*B_INTYPE)+SUMPRODUCT((C_CKDATE&gt;=R$10)*(C_CKDATE&lt;R$10+7)*ISNUMBER(C_CKDATA)*C_PM*C_INTYPE)),""),"")</f>
        <v/>
      </c>
      <c r="S17" s="301" t="str">
        <f>IF(ISNUMBER(S$10),IFERROR((SUMPRODUCT((P_CKDATE&gt;=S$10)*(P_CKDATE&lt;S$10+7)*ISNUMBER(P_CKDATA)*P_PM*P_INTYPE,P_CKDATA)+SUMPRODUCT((M_CKDATE&gt;=S$10)*(M_CKDATE&lt;S$10+7)*ISNUMBER(M_CKDATA)*M_PM*M_INTYPE,M_CKDATA)+SUMPRODUCT((W_CKDATE&gt;=S$10)*(W_CKDATE&lt;S$10+7)*ISNUMBER(W_CKDATA)*W_PM*W_INTYPE,W_CKDATA)+SUMPRODUCT((B_CKDATE&gt;=S$10)*(B_CKDATE&lt;S$10+7)*ISNUMBER(B_CKDATA)*B_PM*B_INTYPE,B_CKDATA)+SUMPRODUCT((C_CKDATE&gt;=S$10)*(C_CKDATE&lt;S$10+7)*ISNUMBER(C_CKDATA)*C_PM*C_INTYPE,C_CKDATA))/(SUMPRODUCT((P_CKDATE&gt;=S$10)*(P_CKDATE&lt;S$10+7)*ISNUMBER(P_CKDATA)*P_PM*P_INTYPE)+SUMPRODUCT((M_CKDATE&gt;=S$10)*(M_CKDATE&lt;S$10+7)*ISNUMBER(M_CKDATA)*M_PM*M_INTYPE)+SUMPRODUCT((W_CKDATE&gt;=S$10)*(W_CKDATE&lt;S$10+7)*ISNUMBER(W_CKDATA)*W_PM*W_INTYPE)+SUMPRODUCT((B_CKDATE&gt;=S$10)*(B_CKDATE&lt;S$10+7)*ISNUMBER(B_CKDATA)*B_PM*B_INTYPE)+SUMPRODUCT((C_CKDATE&gt;=S$10)*(C_CKDATE&lt;S$10+7)*ISNUMBER(C_CKDATA)*C_PM*C_INTYPE)),""),"")</f>
        <v/>
      </c>
      <c r="T17" s="301" t="str">
        <f>IF(ISNUMBER(T$10),IFERROR((SUMPRODUCT((P_CKDATE&gt;=T$10)*(P_CKDATE&lt;T$10+7)*ISNUMBER(P_CKDATA)*P_PM*P_INTYPE,P_CKDATA)+SUMPRODUCT((M_CKDATE&gt;=T$10)*(M_CKDATE&lt;T$10+7)*ISNUMBER(M_CKDATA)*M_PM*M_INTYPE,M_CKDATA)+SUMPRODUCT((W_CKDATE&gt;=T$10)*(W_CKDATE&lt;T$10+7)*ISNUMBER(W_CKDATA)*W_PM*W_INTYPE,W_CKDATA)+SUMPRODUCT((B_CKDATE&gt;=T$10)*(B_CKDATE&lt;T$10+7)*ISNUMBER(B_CKDATA)*B_PM*B_INTYPE,B_CKDATA)+SUMPRODUCT((C_CKDATE&gt;=T$10)*(C_CKDATE&lt;T$10+7)*ISNUMBER(C_CKDATA)*C_PM*C_INTYPE,C_CKDATA))/(SUMPRODUCT((P_CKDATE&gt;=T$10)*(P_CKDATE&lt;T$10+7)*ISNUMBER(P_CKDATA)*P_PM*P_INTYPE)+SUMPRODUCT((M_CKDATE&gt;=T$10)*(M_CKDATE&lt;T$10+7)*ISNUMBER(M_CKDATA)*M_PM*M_INTYPE)+SUMPRODUCT((W_CKDATE&gt;=T$10)*(W_CKDATE&lt;T$10+7)*ISNUMBER(W_CKDATA)*W_PM*W_INTYPE)+SUMPRODUCT((B_CKDATE&gt;=T$10)*(B_CKDATE&lt;T$10+7)*ISNUMBER(B_CKDATA)*B_PM*B_INTYPE)+SUMPRODUCT((C_CKDATE&gt;=T$10)*(C_CKDATE&lt;T$10+7)*ISNUMBER(C_CKDATA)*C_PM*C_INTYPE)),""),"")</f>
        <v/>
      </c>
      <c r="U17" s="301" t="str">
        <f>IF(ISNUMBER(U$10),IFERROR((SUMPRODUCT((P_CKDATE&gt;=U$10)*(P_CKDATE&lt;U$10+7)*ISNUMBER(P_CKDATA)*P_PM*P_INTYPE,P_CKDATA)+SUMPRODUCT((M_CKDATE&gt;=U$10)*(M_CKDATE&lt;U$10+7)*ISNUMBER(M_CKDATA)*M_PM*M_INTYPE,M_CKDATA)+SUMPRODUCT((W_CKDATE&gt;=U$10)*(W_CKDATE&lt;U$10+7)*ISNUMBER(W_CKDATA)*W_PM*W_INTYPE,W_CKDATA)+SUMPRODUCT((B_CKDATE&gt;=U$10)*(B_CKDATE&lt;U$10+7)*ISNUMBER(B_CKDATA)*B_PM*B_INTYPE,B_CKDATA)+SUMPRODUCT((C_CKDATE&gt;=U$10)*(C_CKDATE&lt;U$10+7)*ISNUMBER(C_CKDATA)*C_PM*C_INTYPE,C_CKDATA))/(SUMPRODUCT((P_CKDATE&gt;=U$10)*(P_CKDATE&lt;U$10+7)*ISNUMBER(P_CKDATA)*P_PM*P_INTYPE)+SUMPRODUCT((M_CKDATE&gt;=U$10)*(M_CKDATE&lt;U$10+7)*ISNUMBER(M_CKDATA)*M_PM*M_INTYPE)+SUMPRODUCT((W_CKDATE&gt;=U$10)*(W_CKDATE&lt;U$10+7)*ISNUMBER(W_CKDATA)*W_PM*W_INTYPE)+SUMPRODUCT((B_CKDATE&gt;=U$10)*(B_CKDATE&lt;U$10+7)*ISNUMBER(B_CKDATA)*B_PM*B_INTYPE)+SUMPRODUCT((C_CKDATE&gt;=U$10)*(C_CKDATE&lt;U$10+7)*ISNUMBER(C_CKDATA)*C_PM*C_INTYPE)),""),"")</f>
        <v/>
      </c>
      <c r="V17" s="301" t="str">
        <f>IF(ISNUMBER(V$10),IFERROR((SUMPRODUCT((P_CKDATE&gt;=V$10)*(P_CKDATE&lt;V$10+7)*ISNUMBER(P_CKDATA)*P_PM*P_INTYPE,P_CKDATA)+SUMPRODUCT((M_CKDATE&gt;=V$10)*(M_CKDATE&lt;V$10+7)*ISNUMBER(M_CKDATA)*M_PM*M_INTYPE,M_CKDATA)+SUMPRODUCT((W_CKDATE&gt;=V$10)*(W_CKDATE&lt;V$10+7)*ISNUMBER(W_CKDATA)*W_PM*W_INTYPE,W_CKDATA)+SUMPRODUCT((B_CKDATE&gt;=V$10)*(B_CKDATE&lt;V$10+7)*ISNUMBER(B_CKDATA)*B_PM*B_INTYPE,B_CKDATA)+SUMPRODUCT((C_CKDATE&gt;=V$10)*(C_CKDATE&lt;V$10+7)*ISNUMBER(C_CKDATA)*C_PM*C_INTYPE,C_CKDATA))/(SUMPRODUCT((P_CKDATE&gt;=V$10)*(P_CKDATE&lt;V$10+7)*ISNUMBER(P_CKDATA)*P_PM*P_INTYPE)+SUMPRODUCT((M_CKDATE&gt;=V$10)*(M_CKDATE&lt;V$10+7)*ISNUMBER(M_CKDATA)*M_PM*M_INTYPE)+SUMPRODUCT((W_CKDATE&gt;=V$10)*(W_CKDATE&lt;V$10+7)*ISNUMBER(W_CKDATA)*W_PM*W_INTYPE)+SUMPRODUCT((B_CKDATE&gt;=V$10)*(B_CKDATE&lt;V$10+7)*ISNUMBER(B_CKDATA)*B_PM*B_INTYPE)+SUMPRODUCT((C_CKDATE&gt;=V$10)*(C_CKDATE&lt;V$10+7)*ISNUMBER(C_CKDATA)*C_PM*C_INTYPE)),""),"")</f>
        <v/>
      </c>
      <c r="W17" s="301" t="str">
        <f>IF(ISNUMBER(W$10),IFERROR((SUMPRODUCT((P_CKDATE&gt;=W$10)*(P_CKDATE&lt;W$10+7)*ISNUMBER(P_CKDATA)*P_PM*P_INTYPE,P_CKDATA)+SUMPRODUCT((M_CKDATE&gt;=W$10)*(M_CKDATE&lt;W$10+7)*ISNUMBER(M_CKDATA)*M_PM*M_INTYPE,M_CKDATA)+SUMPRODUCT((W_CKDATE&gt;=W$10)*(W_CKDATE&lt;W$10+7)*ISNUMBER(W_CKDATA)*W_PM*W_INTYPE,W_CKDATA)+SUMPRODUCT((B_CKDATE&gt;=W$10)*(B_CKDATE&lt;W$10+7)*ISNUMBER(B_CKDATA)*B_PM*B_INTYPE,B_CKDATA)+SUMPRODUCT((C_CKDATE&gt;=W$10)*(C_CKDATE&lt;W$10+7)*ISNUMBER(C_CKDATA)*C_PM*C_INTYPE,C_CKDATA))/(SUMPRODUCT((P_CKDATE&gt;=W$10)*(P_CKDATE&lt;W$10+7)*ISNUMBER(P_CKDATA)*P_PM*P_INTYPE)+SUMPRODUCT((M_CKDATE&gt;=W$10)*(M_CKDATE&lt;W$10+7)*ISNUMBER(M_CKDATA)*M_PM*M_INTYPE)+SUMPRODUCT((W_CKDATE&gt;=W$10)*(W_CKDATE&lt;W$10+7)*ISNUMBER(W_CKDATA)*W_PM*W_INTYPE)+SUMPRODUCT((B_CKDATE&gt;=W$10)*(B_CKDATE&lt;W$10+7)*ISNUMBER(B_CKDATA)*B_PM*B_INTYPE)+SUMPRODUCT((C_CKDATE&gt;=W$10)*(C_CKDATE&lt;W$10+7)*ISNUMBER(C_CKDATA)*C_PM*C_INTYPE)),""),"")</f>
        <v/>
      </c>
      <c r="X17" s="301" t="str">
        <f>IF(ISNUMBER(X$10),IFERROR((SUMPRODUCT((P_CKDATE&gt;=X$10)*(P_CKDATE&lt;X$10+7)*ISNUMBER(P_CKDATA)*P_PM*P_INTYPE,P_CKDATA)+SUMPRODUCT((M_CKDATE&gt;=X$10)*(M_CKDATE&lt;X$10+7)*ISNUMBER(M_CKDATA)*M_PM*M_INTYPE,M_CKDATA)+SUMPRODUCT((W_CKDATE&gt;=X$10)*(W_CKDATE&lt;X$10+7)*ISNUMBER(W_CKDATA)*W_PM*W_INTYPE,W_CKDATA)+SUMPRODUCT((B_CKDATE&gt;=X$10)*(B_CKDATE&lt;X$10+7)*ISNUMBER(B_CKDATA)*B_PM*B_INTYPE,B_CKDATA)+SUMPRODUCT((C_CKDATE&gt;=X$10)*(C_CKDATE&lt;X$10+7)*ISNUMBER(C_CKDATA)*C_PM*C_INTYPE,C_CKDATA))/(SUMPRODUCT((P_CKDATE&gt;=X$10)*(P_CKDATE&lt;X$10+7)*ISNUMBER(P_CKDATA)*P_PM*P_INTYPE)+SUMPRODUCT((M_CKDATE&gt;=X$10)*(M_CKDATE&lt;X$10+7)*ISNUMBER(M_CKDATA)*M_PM*M_INTYPE)+SUMPRODUCT((W_CKDATE&gt;=X$10)*(W_CKDATE&lt;X$10+7)*ISNUMBER(W_CKDATA)*W_PM*W_INTYPE)+SUMPRODUCT((B_CKDATE&gt;=X$10)*(B_CKDATE&lt;X$10+7)*ISNUMBER(B_CKDATA)*B_PM*B_INTYPE)+SUMPRODUCT((C_CKDATE&gt;=X$10)*(C_CKDATE&lt;X$10+7)*ISNUMBER(C_CKDATA)*C_PM*C_INTYPE)),""),"")</f>
        <v/>
      </c>
      <c r="Y17" s="301" t="str">
        <f>IF(ISNUMBER(Y$10),IFERROR((SUMPRODUCT((P_CKDATE&gt;=Y$10)*(P_CKDATE&lt;Y$10+7)*ISNUMBER(P_CKDATA)*P_PM*P_INTYPE,P_CKDATA)+SUMPRODUCT((M_CKDATE&gt;=Y$10)*(M_CKDATE&lt;Y$10+7)*ISNUMBER(M_CKDATA)*M_PM*M_INTYPE,M_CKDATA)+SUMPRODUCT((W_CKDATE&gt;=Y$10)*(W_CKDATE&lt;Y$10+7)*ISNUMBER(W_CKDATA)*W_PM*W_INTYPE,W_CKDATA)+SUMPRODUCT((B_CKDATE&gt;=Y$10)*(B_CKDATE&lt;Y$10+7)*ISNUMBER(B_CKDATA)*B_PM*B_INTYPE,B_CKDATA)+SUMPRODUCT((C_CKDATE&gt;=Y$10)*(C_CKDATE&lt;Y$10+7)*ISNUMBER(C_CKDATA)*C_PM*C_INTYPE,C_CKDATA))/(SUMPRODUCT((P_CKDATE&gt;=Y$10)*(P_CKDATE&lt;Y$10+7)*ISNUMBER(P_CKDATA)*P_PM*P_INTYPE)+SUMPRODUCT((M_CKDATE&gt;=Y$10)*(M_CKDATE&lt;Y$10+7)*ISNUMBER(M_CKDATA)*M_PM*M_INTYPE)+SUMPRODUCT((W_CKDATE&gt;=Y$10)*(W_CKDATE&lt;Y$10+7)*ISNUMBER(W_CKDATA)*W_PM*W_INTYPE)+SUMPRODUCT((B_CKDATE&gt;=Y$10)*(B_CKDATE&lt;Y$10+7)*ISNUMBER(B_CKDATA)*B_PM*B_INTYPE)+SUMPRODUCT((C_CKDATE&gt;=Y$10)*(C_CKDATE&lt;Y$10+7)*ISNUMBER(C_CKDATA)*C_PM*C_INTYPE)),""),"")</f>
        <v/>
      </c>
      <c r="Z17" s="301" t="str">
        <f>IF(ISNUMBER(Z$10),IFERROR((SUMPRODUCT((P_CKDATE&gt;=Z$10)*(P_CKDATE&lt;Z$10+7)*ISNUMBER(P_CKDATA)*P_PM*P_INTYPE,P_CKDATA)+SUMPRODUCT((M_CKDATE&gt;=Z$10)*(M_CKDATE&lt;Z$10+7)*ISNUMBER(M_CKDATA)*M_PM*M_INTYPE,M_CKDATA)+SUMPRODUCT((W_CKDATE&gt;=Z$10)*(W_CKDATE&lt;Z$10+7)*ISNUMBER(W_CKDATA)*W_PM*W_INTYPE,W_CKDATA)+SUMPRODUCT((B_CKDATE&gt;=Z$10)*(B_CKDATE&lt;Z$10+7)*ISNUMBER(B_CKDATA)*B_PM*B_INTYPE,B_CKDATA)+SUMPRODUCT((C_CKDATE&gt;=Z$10)*(C_CKDATE&lt;Z$10+7)*ISNUMBER(C_CKDATA)*C_PM*C_INTYPE,C_CKDATA))/(SUMPRODUCT((P_CKDATE&gt;=Z$10)*(P_CKDATE&lt;Z$10+7)*ISNUMBER(P_CKDATA)*P_PM*P_INTYPE)+SUMPRODUCT((M_CKDATE&gt;=Z$10)*(M_CKDATE&lt;Z$10+7)*ISNUMBER(M_CKDATA)*M_PM*M_INTYPE)+SUMPRODUCT((W_CKDATE&gt;=Z$10)*(W_CKDATE&lt;Z$10+7)*ISNUMBER(W_CKDATA)*W_PM*W_INTYPE)+SUMPRODUCT((B_CKDATE&gt;=Z$10)*(B_CKDATE&lt;Z$10+7)*ISNUMBER(B_CKDATA)*B_PM*B_INTYPE)+SUMPRODUCT((C_CKDATE&gt;=Z$10)*(C_CKDATE&lt;Z$10+7)*ISNUMBER(C_CKDATA)*C_PM*C_INTYPE)),""),"")</f>
        <v/>
      </c>
      <c r="AA17" s="301" t="str">
        <f>IF(ISNUMBER(AA$10),IFERROR((SUMPRODUCT((P_CKDATE&gt;=AA$10)*(P_CKDATE&lt;AA$10+7)*ISNUMBER(P_CKDATA)*P_PM*P_INTYPE,P_CKDATA)+SUMPRODUCT((M_CKDATE&gt;=AA$10)*(M_CKDATE&lt;AA$10+7)*ISNUMBER(M_CKDATA)*M_PM*M_INTYPE,M_CKDATA)+SUMPRODUCT((W_CKDATE&gt;=AA$10)*(W_CKDATE&lt;AA$10+7)*ISNUMBER(W_CKDATA)*W_PM*W_INTYPE,W_CKDATA)+SUMPRODUCT((B_CKDATE&gt;=AA$10)*(B_CKDATE&lt;AA$10+7)*ISNUMBER(B_CKDATA)*B_PM*B_INTYPE,B_CKDATA)+SUMPRODUCT((C_CKDATE&gt;=AA$10)*(C_CKDATE&lt;AA$10+7)*ISNUMBER(C_CKDATA)*C_PM*C_INTYPE,C_CKDATA))/(SUMPRODUCT((P_CKDATE&gt;=AA$10)*(P_CKDATE&lt;AA$10+7)*ISNUMBER(P_CKDATA)*P_PM*P_INTYPE)+SUMPRODUCT((M_CKDATE&gt;=AA$10)*(M_CKDATE&lt;AA$10+7)*ISNUMBER(M_CKDATA)*M_PM*M_INTYPE)+SUMPRODUCT((W_CKDATE&gt;=AA$10)*(W_CKDATE&lt;AA$10+7)*ISNUMBER(W_CKDATA)*W_PM*W_INTYPE)+SUMPRODUCT((B_CKDATE&gt;=AA$10)*(B_CKDATE&lt;AA$10+7)*ISNUMBER(B_CKDATA)*B_PM*B_INTYPE)+SUMPRODUCT((C_CKDATE&gt;=AA$10)*(C_CKDATE&lt;AA$10+7)*ISNUMBER(C_CKDATA)*C_PM*C_INTYPE)),""),"")</f>
        <v/>
      </c>
      <c r="AB17" s="301" t="str">
        <f>IF(ISNUMBER(AB$10),IFERROR((SUMPRODUCT((P_CKDATE&gt;=AB$10)*(P_CKDATE&lt;AB$10+7)*ISNUMBER(P_CKDATA)*P_PM*P_INTYPE,P_CKDATA)+SUMPRODUCT((M_CKDATE&gt;=AB$10)*(M_CKDATE&lt;AB$10+7)*ISNUMBER(M_CKDATA)*M_PM*M_INTYPE,M_CKDATA)+SUMPRODUCT((W_CKDATE&gt;=AB$10)*(W_CKDATE&lt;AB$10+7)*ISNUMBER(W_CKDATA)*W_PM*W_INTYPE,W_CKDATA)+SUMPRODUCT((B_CKDATE&gt;=AB$10)*(B_CKDATE&lt;AB$10+7)*ISNUMBER(B_CKDATA)*B_PM*B_INTYPE,B_CKDATA)+SUMPRODUCT((C_CKDATE&gt;=AB$10)*(C_CKDATE&lt;AB$10+7)*ISNUMBER(C_CKDATA)*C_PM*C_INTYPE,C_CKDATA))/(SUMPRODUCT((P_CKDATE&gt;=AB$10)*(P_CKDATE&lt;AB$10+7)*ISNUMBER(P_CKDATA)*P_PM*P_INTYPE)+SUMPRODUCT((M_CKDATE&gt;=AB$10)*(M_CKDATE&lt;AB$10+7)*ISNUMBER(M_CKDATA)*M_PM*M_INTYPE)+SUMPRODUCT((W_CKDATE&gt;=AB$10)*(W_CKDATE&lt;AB$10+7)*ISNUMBER(W_CKDATA)*W_PM*W_INTYPE)+SUMPRODUCT((B_CKDATE&gt;=AB$10)*(B_CKDATE&lt;AB$10+7)*ISNUMBER(B_CKDATA)*B_PM*B_INTYPE)+SUMPRODUCT((C_CKDATE&gt;=AB$10)*(C_CKDATE&lt;AB$10+7)*ISNUMBER(C_CKDATA)*C_PM*C_INTYPE)),""),"")</f>
        <v/>
      </c>
      <c r="AC17" s="301" t="str">
        <f>IF(ISNUMBER(AC$10),IFERROR((SUMPRODUCT((P_CKDATE&gt;=AC$10)*(P_CKDATE&lt;AC$10+7)*ISNUMBER(P_CKDATA)*P_PM*P_INTYPE,P_CKDATA)+SUMPRODUCT((M_CKDATE&gt;=AC$10)*(M_CKDATE&lt;AC$10+7)*ISNUMBER(M_CKDATA)*M_PM*M_INTYPE,M_CKDATA)+SUMPRODUCT((W_CKDATE&gt;=AC$10)*(W_CKDATE&lt;AC$10+7)*ISNUMBER(W_CKDATA)*W_PM*W_INTYPE,W_CKDATA)+SUMPRODUCT((B_CKDATE&gt;=AC$10)*(B_CKDATE&lt;AC$10+7)*ISNUMBER(B_CKDATA)*B_PM*B_INTYPE,B_CKDATA)+SUMPRODUCT((C_CKDATE&gt;=AC$10)*(C_CKDATE&lt;AC$10+7)*ISNUMBER(C_CKDATA)*C_PM*C_INTYPE,C_CKDATA))/(SUMPRODUCT((P_CKDATE&gt;=AC$10)*(P_CKDATE&lt;AC$10+7)*ISNUMBER(P_CKDATA)*P_PM*P_INTYPE)+SUMPRODUCT((M_CKDATE&gt;=AC$10)*(M_CKDATE&lt;AC$10+7)*ISNUMBER(M_CKDATA)*M_PM*M_INTYPE)+SUMPRODUCT((W_CKDATE&gt;=AC$10)*(W_CKDATE&lt;AC$10+7)*ISNUMBER(W_CKDATA)*W_PM*W_INTYPE)+SUMPRODUCT((B_CKDATE&gt;=AC$10)*(B_CKDATE&lt;AC$10+7)*ISNUMBER(B_CKDATA)*B_PM*B_INTYPE)+SUMPRODUCT((C_CKDATE&gt;=AC$10)*(C_CKDATE&lt;AC$10+7)*ISNUMBER(C_CKDATA)*C_PM*C_INTYPE)),""),"")</f>
        <v/>
      </c>
      <c r="AD17" s="301" t="str">
        <f>IF(ISNUMBER(AD$10),IFERROR((SUMPRODUCT((P_CKDATE&gt;=AD$10)*(P_CKDATE&lt;AD$10+7)*ISNUMBER(P_CKDATA)*P_PM*P_INTYPE,P_CKDATA)+SUMPRODUCT((M_CKDATE&gt;=AD$10)*(M_CKDATE&lt;AD$10+7)*ISNUMBER(M_CKDATA)*M_PM*M_INTYPE,M_CKDATA)+SUMPRODUCT((W_CKDATE&gt;=AD$10)*(W_CKDATE&lt;AD$10+7)*ISNUMBER(W_CKDATA)*W_PM*W_INTYPE,W_CKDATA)+SUMPRODUCT((B_CKDATE&gt;=AD$10)*(B_CKDATE&lt;AD$10+7)*ISNUMBER(B_CKDATA)*B_PM*B_INTYPE,B_CKDATA)+SUMPRODUCT((C_CKDATE&gt;=AD$10)*(C_CKDATE&lt;AD$10+7)*ISNUMBER(C_CKDATA)*C_PM*C_INTYPE,C_CKDATA))/(SUMPRODUCT((P_CKDATE&gt;=AD$10)*(P_CKDATE&lt;AD$10+7)*ISNUMBER(P_CKDATA)*P_PM*P_INTYPE)+SUMPRODUCT((M_CKDATE&gt;=AD$10)*(M_CKDATE&lt;AD$10+7)*ISNUMBER(M_CKDATA)*M_PM*M_INTYPE)+SUMPRODUCT((W_CKDATE&gt;=AD$10)*(W_CKDATE&lt;AD$10+7)*ISNUMBER(W_CKDATA)*W_PM*W_INTYPE)+SUMPRODUCT((B_CKDATE&gt;=AD$10)*(B_CKDATE&lt;AD$10+7)*ISNUMBER(B_CKDATA)*B_PM*B_INTYPE)+SUMPRODUCT((C_CKDATE&gt;=AD$10)*(C_CKDATE&lt;AD$10+7)*ISNUMBER(C_CKDATA)*C_PM*C_INTYPE)),""),"")</f>
        <v/>
      </c>
      <c r="AE17" s="301" t="str">
        <f>IF(ISNUMBER(AE$10),IFERROR((SUMPRODUCT((P_CKDATE&gt;=AE$10)*(P_CKDATE&lt;AE$10+7)*ISNUMBER(P_CKDATA)*P_PM*P_INTYPE,P_CKDATA)+SUMPRODUCT((M_CKDATE&gt;=AE$10)*(M_CKDATE&lt;AE$10+7)*ISNUMBER(M_CKDATA)*M_PM*M_INTYPE,M_CKDATA)+SUMPRODUCT((W_CKDATE&gt;=AE$10)*(W_CKDATE&lt;AE$10+7)*ISNUMBER(W_CKDATA)*W_PM*W_INTYPE,W_CKDATA)+SUMPRODUCT((B_CKDATE&gt;=AE$10)*(B_CKDATE&lt;AE$10+7)*ISNUMBER(B_CKDATA)*B_PM*B_INTYPE,B_CKDATA)+SUMPRODUCT((C_CKDATE&gt;=AE$10)*(C_CKDATE&lt;AE$10+7)*ISNUMBER(C_CKDATA)*C_PM*C_INTYPE,C_CKDATA))/(SUMPRODUCT((P_CKDATE&gt;=AE$10)*(P_CKDATE&lt;AE$10+7)*ISNUMBER(P_CKDATA)*P_PM*P_INTYPE)+SUMPRODUCT((M_CKDATE&gt;=AE$10)*(M_CKDATE&lt;AE$10+7)*ISNUMBER(M_CKDATA)*M_PM*M_INTYPE)+SUMPRODUCT((W_CKDATE&gt;=AE$10)*(W_CKDATE&lt;AE$10+7)*ISNUMBER(W_CKDATA)*W_PM*W_INTYPE)+SUMPRODUCT((B_CKDATE&gt;=AE$10)*(B_CKDATE&lt;AE$10+7)*ISNUMBER(B_CKDATA)*B_PM*B_INTYPE)+SUMPRODUCT((C_CKDATE&gt;=AE$10)*(C_CKDATE&lt;AE$10+7)*ISNUMBER(C_CKDATA)*C_PM*C_INTYPE)),""),"")</f>
        <v/>
      </c>
      <c r="AF17" s="301" t="str">
        <f>IF(ISNUMBER(AF$10),IFERROR((SUMPRODUCT((P_CKDATE&gt;=AF$10)*(P_CKDATE&lt;AF$10+7)*ISNUMBER(P_CKDATA)*P_PM*P_INTYPE,P_CKDATA)+SUMPRODUCT((M_CKDATE&gt;=AF$10)*(M_CKDATE&lt;AF$10+7)*ISNUMBER(M_CKDATA)*M_PM*M_INTYPE,M_CKDATA)+SUMPRODUCT((W_CKDATE&gt;=AF$10)*(W_CKDATE&lt;AF$10+7)*ISNUMBER(W_CKDATA)*W_PM*W_INTYPE,W_CKDATA)+SUMPRODUCT((B_CKDATE&gt;=AF$10)*(B_CKDATE&lt;AF$10+7)*ISNUMBER(B_CKDATA)*B_PM*B_INTYPE,B_CKDATA)+SUMPRODUCT((C_CKDATE&gt;=AF$10)*(C_CKDATE&lt;AF$10+7)*ISNUMBER(C_CKDATA)*C_PM*C_INTYPE,C_CKDATA))/(SUMPRODUCT((P_CKDATE&gt;=AF$10)*(P_CKDATE&lt;AF$10+7)*ISNUMBER(P_CKDATA)*P_PM*P_INTYPE)+SUMPRODUCT((M_CKDATE&gt;=AF$10)*(M_CKDATE&lt;AF$10+7)*ISNUMBER(M_CKDATA)*M_PM*M_INTYPE)+SUMPRODUCT((W_CKDATE&gt;=AF$10)*(W_CKDATE&lt;AF$10+7)*ISNUMBER(W_CKDATA)*W_PM*W_INTYPE)+SUMPRODUCT((B_CKDATE&gt;=AF$10)*(B_CKDATE&lt;AF$10+7)*ISNUMBER(B_CKDATA)*B_PM*B_INTYPE)+SUMPRODUCT((C_CKDATE&gt;=AF$10)*(C_CKDATE&lt;AF$10+7)*ISNUMBER(C_CKDATA)*C_PM*C_INTYPE)),""),"")</f>
        <v/>
      </c>
      <c r="AG17" s="301" t="str">
        <f>IF(ISNUMBER(AG$10),IFERROR((SUMPRODUCT((P_CKDATE&gt;=AG$10)*(P_CKDATE&lt;AG$10+7)*ISNUMBER(P_CKDATA)*P_PM*P_INTYPE,P_CKDATA)+SUMPRODUCT((M_CKDATE&gt;=AG$10)*(M_CKDATE&lt;AG$10+7)*ISNUMBER(M_CKDATA)*M_PM*M_INTYPE,M_CKDATA)+SUMPRODUCT((W_CKDATE&gt;=AG$10)*(W_CKDATE&lt;AG$10+7)*ISNUMBER(W_CKDATA)*W_PM*W_INTYPE,W_CKDATA)+SUMPRODUCT((B_CKDATE&gt;=AG$10)*(B_CKDATE&lt;AG$10+7)*ISNUMBER(B_CKDATA)*B_PM*B_INTYPE,B_CKDATA)+SUMPRODUCT((C_CKDATE&gt;=AG$10)*(C_CKDATE&lt;AG$10+7)*ISNUMBER(C_CKDATA)*C_PM*C_INTYPE,C_CKDATA))/(SUMPRODUCT((P_CKDATE&gt;=AG$10)*(P_CKDATE&lt;AG$10+7)*ISNUMBER(P_CKDATA)*P_PM*P_INTYPE)+SUMPRODUCT((M_CKDATE&gt;=AG$10)*(M_CKDATE&lt;AG$10+7)*ISNUMBER(M_CKDATA)*M_PM*M_INTYPE)+SUMPRODUCT((W_CKDATE&gt;=AG$10)*(W_CKDATE&lt;AG$10+7)*ISNUMBER(W_CKDATA)*W_PM*W_INTYPE)+SUMPRODUCT((B_CKDATE&gt;=AG$10)*(B_CKDATE&lt;AG$10+7)*ISNUMBER(B_CKDATA)*B_PM*B_INTYPE)+SUMPRODUCT((C_CKDATE&gt;=AG$10)*(C_CKDATE&lt;AG$10+7)*ISNUMBER(C_CKDATA)*C_PM*C_INTYPE)),""),"")</f>
        <v/>
      </c>
      <c r="AH17" s="301" t="str">
        <f>IF(ISNUMBER(AH$10),IFERROR((SUMPRODUCT((P_CKDATE&gt;=AH$10)*(P_CKDATE&lt;AH$10+7)*ISNUMBER(P_CKDATA)*P_PM*P_INTYPE,P_CKDATA)+SUMPRODUCT((M_CKDATE&gt;=AH$10)*(M_CKDATE&lt;AH$10+7)*ISNUMBER(M_CKDATA)*M_PM*M_INTYPE,M_CKDATA)+SUMPRODUCT((W_CKDATE&gt;=AH$10)*(W_CKDATE&lt;AH$10+7)*ISNUMBER(W_CKDATA)*W_PM*W_INTYPE,W_CKDATA)+SUMPRODUCT((B_CKDATE&gt;=AH$10)*(B_CKDATE&lt;AH$10+7)*ISNUMBER(B_CKDATA)*B_PM*B_INTYPE,B_CKDATA)+SUMPRODUCT((C_CKDATE&gt;=AH$10)*(C_CKDATE&lt;AH$10+7)*ISNUMBER(C_CKDATA)*C_PM*C_INTYPE,C_CKDATA))/(SUMPRODUCT((P_CKDATE&gt;=AH$10)*(P_CKDATE&lt;AH$10+7)*ISNUMBER(P_CKDATA)*P_PM*P_INTYPE)+SUMPRODUCT((M_CKDATE&gt;=AH$10)*(M_CKDATE&lt;AH$10+7)*ISNUMBER(M_CKDATA)*M_PM*M_INTYPE)+SUMPRODUCT((W_CKDATE&gt;=AH$10)*(W_CKDATE&lt;AH$10+7)*ISNUMBER(W_CKDATA)*W_PM*W_INTYPE)+SUMPRODUCT((B_CKDATE&gt;=AH$10)*(B_CKDATE&lt;AH$10+7)*ISNUMBER(B_CKDATA)*B_PM*B_INTYPE)+SUMPRODUCT((C_CKDATE&gt;=AH$10)*(C_CKDATE&lt;AH$10+7)*ISNUMBER(C_CKDATA)*C_PM*C_INTYPE)),""),"")</f>
        <v/>
      </c>
      <c r="AI17" s="301" t="str">
        <f>IF(ISNUMBER(AI$10),IFERROR((SUMPRODUCT((P_CKDATE&gt;=AI$10)*(P_CKDATE&lt;AI$10+7)*ISNUMBER(P_CKDATA)*P_PM*P_INTYPE,P_CKDATA)+SUMPRODUCT((M_CKDATE&gt;=AI$10)*(M_CKDATE&lt;AI$10+7)*ISNUMBER(M_CKDATA)*M_PM*M_INTYPE,M_CKDATA)+SUMPRODUCT((W_CKDATE&gt;=AI$10)*(W_CKDATE&lt;AI$10+7)*ISNUMBER(W_CKDATA)*W_PM*W_INTYPE,W_CKDATA)+SUMPRODUCT((B_CKDATE&gt;=AI$10)*(B_CKDATE&lt;AI$10+7)*ISNUMBER(B_CKDATA)*B_PM*B_INTYPE,B_CKDATA)+SUMPRODUCT((C_CKDATE&gt;=AI$10)*(C_CKDATE&lt;AI$10+7)*ISNUMBER(C_CKDATA)*C_PM*C_INTYPE,C_CKDATA))/(SUMPRODUCT((P_CKDATE&gt;=AI$10)*(P_CKDATE&lt;AI$10+7)*ISNUMBER(P_CKDATA)*P_PM*P_INTYPE)+SUMPRODUCT((M_CKDATE&gt;=AI$10)*(M_CKDATE&lt;AI$10+7)*ISNUMBER(M_CKDATA)*M_PM*M_INTYPE)+SUMPRODUCT((W_CKDATE&gt;=AI$10)*(W_CKDATE&lt;AI$10+7)*ISNUMBER(W_CKDATA)*W_PM*W_INTYPE)+SUMPRODUCT((B_CKDATE&gt;=AI$10)*(B_CKDATE&lt;AI$10+7)*ISNUMBER(B_CKDATA)*B_PM*B_INTYPE)+SUMPRODUCT((C_CKDATE&gt;=AI$10)*(C_CKDATE&lt;AI$10+7)*ISNUMBER(C_CKDATA)*C_PM*C_INTYPE)),""),"")</f>
        <v/>
      </c>
    </row>
    <row r="18" spans="2:38" s="187" customFormat="1" x14ac:dyDescent="0.2">
      <c r="B18" s="266"/>
      <c r="C18" s="267" t="s">
        <v>358</v>
      </c>
      <c r="D18" s="301" t="str">
        <f>Planning!D6</f>
        <v/>
      </c>
      <c r="E18" s="302" t="str">
        <f>IF(ISNUMBER(E$10),IFERROR(SUMPRODUCT((P_CKDATE&gt;=E$10)*(P_CKDATE&lt;E$10+7)*ISNUMBER(P_CKDATA)*P_PM*P_INTYPE,P_CKDATA)/SUMPRODUCT((P_CKDATE&gt;=E$10)*(P_CKDATE&lt;E$10+7)*ISNUMBER(P_CKDATA)*P_PM*P_INTYPE),""),"")</f>
        <v/>
      </c>
      <c r="F18" s="302" t="str">
        <f>IF(ISNUMBER(F$10),IFERROR(SUMPRODUCT((P_CKDATE&gt;=F$10)*(P_CKDATE&lt;F$10+7)*ISNUMBER(P_CKDATA)*P_PM*P_INTYPE,P_CKDATA)/SUMPRODUCT((P_CKDATE&gt;=F$10)*(P_CKDATE&lt;F$10+7)*ISNUMBER(P_CKDATA)*P_PM*P_INTYPE),""),"")</f>
        <v/>
      </c>
      <c r="G18" s="302" t="str">
        <f>IF(ISNUMBER(G$10),IFERROR(SUMPRODUCT((P_CKDATE&gt;=G$10)*(P_CKDATE&lt;G$10+7)*ISNUMBER(P_CKDATA)*P_PM*P_INTYPE,P_CKDATA)/SUMPRODUCT((P_CKDATE&gt;=G$10)*(P_CKDATE&lt;G$10+7)*ISNUMBER(P_CKDATA)*P_PM*P_INTYPE),""),"")</f>
        <v/>
      </c>
      <c r="H18" s="302" t="str">
        <f>IF(ISNUMBER(H$10),IFERROR(SUMPRODUCT((P_CKDATE&gt;=H$10)*(P_CKDATE&lt;H$10+7)*ISNUMBER(P_CKDATA)*P_PM*P_INTYPE,P_CKDATA)/SUMPRODUCT((P_CKDATE&gt;=H$10)*(P_CKDATE&lt;H$10+7)*ISNUMBER(P_CKDATA)*P_PM*P_INTYPE),""),"")</f>
        <v/>
      </c>
      <c r="I18" s="302" t="str">
        <f>IF(ISNUMBER(I$10),IFERROR(SUMPRODUCT((P_CKDATE&gt;=I$10)*(P_CKDATE&lt;I$10+7)*ISNUMBER(P_CKDATA)*P_PM*P_INTYPE,P_CKDATA)/SUMPRODUCT((P_CKDATE&gt;=I$10)*(P_CKDATE&lt;I$10+7)*ISNUMBER(P_CKDATA)*P_PM*P_INTYPE),""),"")</f>
        <v/>
      </c>
      <c r="J18" s="302" t="str">
        <f>IF(ISNUMBER(J$10),IFERROR(SUMPRODUCT((P_CKDATE&gt;=J$10)*(P_CKDATE&lt;J$10+7)*ISNUMBER(P_CKDATA)*P_PM*P_INTYPE,P_CKDATA)/SUMPRODUCT((P_CKDATE&gt;=J$10)*(P_CKDATE&lt;J$10+7)*ISNUMBER(P_CKDATA)*P_PM*P_INTYPE),""),"")</f>
        <v/>
      </c>
      <c r="K18" s="302" t="str">
        <f>IF(ISNUMBER(K$10),IFERROR(SUMPRODUCT((P_CKDATE&gt;=K$10)*(P_CKDATE&lt;K$10+7)*ISNUMBER(P_CKDATA)*P_PM*P_INTYPE,P_CKDATA)/SUMPRODUCT((P_CKDATE&gt;=K$10)*(P_CKDATE&lt;K$10+7)*ISNUMBER(P_CKDATA)*P_PM*P_INTYPE),""),"")</f>
        <v/>
      </c>
      <c r="L18" s="302" t="str">
        <f>IF(ISNUMBER(L$10),IFERROR(SUMPRODUCT((P_CKDATE&gt;=L$10)*(P_CKDATE&lt;L$10+7)*ISNUMBER(P_CKDATA)*P_PM*P_INTYPE,P_CKDATA)/SUMPRODUCT((P_CKDATE&gt;=L$10)*(P_CKDATE&lt;L$10+7)*ISNUMBER(P_CKDATA)*P_PM*P_INTYPE),""),"")</f>
        <v/>
      </c>
      <c r="M18" s="302" t="str">
        <f>IF(ISNUMBER(M$10),IFERROR(SUMPRODUCT((P_CKDATE&gt;=M$10)*(P_CKDATE&lt;M$10+7)*ISNUMBER(P_CKDATA)*P_PM*P_INTYPE,P_CKDATA)/SUMPRODUCT((P_CKDATE&gt;=M$10)*(P_CKDATE&lt;M$10+7)*ISNUMBER(P_CKDATA)*P_PM*P_INTYPE),""),"")</f>
        <v/>
      </c>
      <c r="N18" s="302" t="str">
        <f>IF(ISNUMBER(N$10),IFERROR(SUMPRODUCT((P_CKDATE&gt;=N$10)*(P_CKDATE&lt;N$10+7)*ISNUMBER(P_CKDATA)*P_PM*P_INTYPE,P_CKDATA)/SUMPRODUCT((P_CKDATE&gt;=N$10)*(P_CKDATE&lt;N$10+7)*ISNUMBER(P_CKDATA)*P_PM*P_INTYPE),""),"")</f>
        <v/>
      </c>
      <c r="O18" s="302" t="str">
        <f>IF(ISNUMBER(O$10),IFERROR(SUMPRODUCT((P_CKDATE&gt;=O$10)*(P_CKDATE&lt;O$10+7)*ISNUMBER(P_CKDATA)*P_PM*P_INTYPE,P_CKDATA)/SUMPRODUCT((P_CKDATE&gt;=O$10)*(P_CKDATE&lt;O$10+7)*ISNUMBER(P_CKDATA)*P_PM*P_INTYPE),""),"")</f>
        <v/>
      </c>
      <c r="P18" s="302" t="str">
        <f>IF(ISNUMBER(P$10),IFERROR(SUMPRODUCT((P_CKDATE&gt;=P$10)*(P_CKDATE&lt;P$10+7)*ISNUMBER(P_CKDATA)*P_PM*P_INTYPE,P_CKDATA)/SUMPRODUCT((P_CKDATE&gt;=P$10)*(P_CKDATE&lt;P$10+7)*ISNUMBER(P_CKDATA)*P_PM*P_INTYPE),""),"")</f>
        <v/>
      </c>
      <c r="Q18" s="302" t="str">
        <f>IF(ISNUMBER(Q$10),IFERROR(SUMPRODUCT((P_CKDATE&gt;=Q$10)*(P_CKDATE&lt;Q$10+7)*ISNUMBER(P_CKDATA)*P_PM*P_INTYPE,P_CKDATA)/SUMPRODUCT((P_CKDATE&gt;=Q$10)*(P_CKDATE&lt;Q$10+7)*ISNUMBER(P_CKDATA)*P_PM*P_INTYPE),""),"")</f>
        <v/>
      </c>
      <c r="R18" s="302" t="str">
        <f>IF(ISNUMBER(R$10),IFERROR(SUMPRODUCT((P_CKDATE&gt;=R$10)*(P_CKDATE&lt;R$10+7)*ISNUMBER(P_CKDATA)*P_PM*P_INTYPE,P_CKDATA)/SUMPRODUCT((P_CKDATE&gt;=R$10)*(P_CKDATE&lt;R$10+7)*ISNUMBER(P_CKDATA)*P_PM*P_INTYPE),""),"")</f>
        <v/>
      </c>
      <c r="S18" s="302" t="str">
        <f>IF(ISNUMBER(S$10),IFERROR(SUMPRODUCT((P_CKDATE&gt;=S$10)*(P_CKDATE&lt;S$10+7)*ISNUMBER(P_CKDATA)*P_PM*P_INTYPE,P_CKDATA)/SUMPRODUCT((P_CKDATE&gt;=S$10)*(P_CKDATE&lt;S$10+7)*ISNUMBER(P_CKDATA)*P_PM*P_INTYPE),""),"")</f>
        <v/>
      </c>
      <c r="T18" s="302" t="str">
        <f>IF(ISNUMBER(T$10),IFERROR(SUMPRODUCT((P_CKDATE&gt;=T$10)*(P_CKDATE&lt;T$10+7)*ISNUMBER(P_CKDATA)*P_PM*P_INTYPE,P_CKDATA)/SUMPRODUCT((P_CKDATE&gt;=T$10)*(P_CKDATE&lt;T$10+7)*ISNUMBER(P_CKDATA)*P_PM*P_INTYPE),""),"")</f>
        <v/>
      </c>
      <c r="U18" s="302" t="str">
        <f>IF(ISNUMBER(U$10),IFERROR(SUMPRODUCT((P_CKDATE&gt;=U$10)*(P_CKDATE&lt;U$10+7)*ISNUMBER(P_CKDATA)*P_PM*P_INTYPE,P_CKDATA)/SUMPRODUCT((P_CKDATE&gt;=U$10)*(P_CKDATE&lt;U$10+7)*ISNUMBER(P_CKDATA)*P_PM*P_INTYPE),""),"")</f>
        <v/>
      </c>
      <c r="V18" s="302" t="str">
        <f>IF(ISNUMBER(V$10),IFERROR(SUMPRODUCT((P_CKDATE&gt;=V$10)*(P_CKDATE&lt;V$10+7)*ISNUMBER(P_CKDATA)*P_PM*P_INTYPE,P_CKDATA)/SUMPRODUCT((P_CKDATE&gt;=V$10)*(P_CKDATE&lt;V$10+7)*ISNUMBER(P_CKDATA)*P_PM*P_INTYPE),""),"")</f>
        <v/>
      </c>
      <c r="W18" s="302" t="str">
        <f>IF(ISNUMBER(W$10),IFERROR(SUMPRODUCT((P_CKDATE&gt;=W$10)*(P_CKDATE&lt;W$10+7)*ISNUMBER(P_CKDATA)*P_PM*P_INTYPE,P_CKDATA)/SUMPRODUCT((P_CKDATE&gt;=W$10)*(P_CKDATE&lt;W$10+7)*ISNUMBER(P_CKDATA)*P_PM*P_INTYPE),""),"")</f>
        <v/>
      </c>
      <c r="X18" s="302" t="str">
        <f>IF(ISNUMBER(X$10),IFERROR(SUMPRODUCT((P_CKDATE&gt;=X$10)*(P_CKDATE&lt;X$10+7)*ISNUMBER(P_CKDATA)*P_PM*P_INTYPE,P_CKDATA)/SUMPRODUCT((P_CKDATE&gt;=X$10)*(P_CKDATE&lt;X$10+7)*ISNUMBER(P_CKDATA)*P_PM*P_INTYPE),""),"")</f>
        <v/>
      </c>
      <c r="Y18" s="302" t="str">
        <f>IF(ISNUMBER(Y$10),IFERROR(SUMPRODUCT((P_CKDATE&gt;=Y$10)*(P_CKDATE&lt;Y$10+7)*ISNUMBER(P_CKDATA)*P_PM*P_INTYPE,P_CKDATA)/SUMPRODUCT((P_CKDATE&gt;=Y$10)*(P_CKDATE&lt;Y$10+7)*ISNUMBER(P_CKDATA)*P_PM*P_INTYPE),""),"")</f>
        <v/>
      </c>
      <c r="Z18" s="302" t="str">
        <f>IF(ISNUMBER(Z$10),IFERROR(SUMPRODUCT((P_CKDATE&gt;=Z$10)*(P_CKDATE&lt;Z$10+7)*ISNUMBER(P_CKDATA)*P_PM*P_INTYPE,P_CKDATA)/SUMPRODUCT((P_CKDATE&gt;=Z$10)*(P_CKDATE&lt;Z$10+7)*ISNUMBER(P_CKDATA)*P_PM*P_INTYPE),""),"")</f>
        <v/>
      </c>
      <c r="AA18" s="302" t="str">
        <f>IF(ISNUMBER(AA$10),IFERROR(SUMPRODUCT((P_CKDATE&gt;=AA$10)*(P_CKDATE&lt;AA$10+7)*ISNUMBER(P_CKDATA)*P_PM*P_INTYPE,P_CKDATA)/SUMPRODUCT((P_CKDATE&gt;=AA$10)*(P_CKDATE&lt;AA$10+7)*ISNUMBER(P_CKDATA)*P_PM*P_INTYPE),""),"")</f>
        <v/>
      </c>
      <c r="AB18" s="302" t="str">
        <f>IF(ISNUMBER(AB$10),IFERROR(SUMPRODUCT((P_CKDATE&gt;=AB$10)*(P_CKDATE&lt;AB$10+7)*ISNUMBER(P_CKDATA)*P_PM*P_INTYPE,P_CKDATA)/SUMPRODUCT((P_CKDATE&gt;=AB$10)*(P_CKDATE&lt;AB$10+7)*ISNUMBER(P_CKDATA)*P_PM*P_INTYPE),""),"")</f>
        <v/>
      </c>
      <c r="AC18" s="302" t="str">
        <f>IF(ISNUMBER(AC$10),IFERROR(SUMPRODUCT((P_CKDATE&gt;=AC$10)*(P_CKDATE&lt;AC$10+7)*ISNUMBER(P_CKDATA)*P_PM*P_INTYPE,P_CKDATA)/SUMPRODUCT((P_CKDATE&gt;=AC$10)*(P_CKDATE&lt;AC$10+7)*ISNUMBER(P_CKDATA)*P_PM*P_INTYPE),""),"")</f>
        <v/>
      </c>
      <c r="AD18" s="302" t="str">
        <f>IF(ISNUMBER(AD$10),IFERROR(SUMPRODUCT((P_CKDATE&gt;=AD$10)*(P_CKDATE&lt;AD$10+7)*ISNUMBER(P_CKDATA)*P_PM*P_INTYPE,P_CKDATA)/SUMPRODUCT((P_CKDATE&gt;=AD$10)*(P_CKDATE&lt;AD$10+7)*ISNUMBER(P_CKDATA)*P_PM*P_INTYPE),""),"")</f>
        <v/>
      </c>
      <c r="AE18" s="302" t="str">
        <f>IF(ISNUMBER(AE$10),IFERROR(SUMPRODUCT((P_CKDATE&gt;=AE$10)*(P_CKDATE&lt;AE$10+7)*ISNUMBER(P_CKDATA)*P_PM*P_INTYPE,P_CKDATA)/SUMPRODUCT((P_CKDATE&gt;=AE$10)*(P_CKDATE&lt;AE$10+7)*ISNUMBER(P_CKDATA)*P_PM*P_INTYPE),""),"")</f>
        <v/>
      </c>
      <c r="AF18" s="302" t="str">
        <f>IF(ISNUMBER(AF$10),IFERROR(SUMPRODUCT((P_CKDATE&gt;=AF$10)*(P_CKDATE&lt;AF$10+7)*ISNUMBER(P_CKDATA)*P_PM*P_INTYPE,P_CKDATA)/SUMPRODUCT((P_CKDATE&gt;=AF$10)*(P_CKDATE&lt;AF$10+7)*ISNUMBER(P_CKDATA)*P_PM*P_INTYPE),""),"")</f>
        <v/>
      </c>
      <c r="AG18" s="302" t="str">
        <f>IF(ISNUMBER(AG$10),IFERROR(SUMPRODUCT((P_CKDATE&gt;=AG$10)*(P_CKDATE&lt;AG$10+7)*ISNUMBER(P_CKDATA)*P_PM*P_INTYPE,P_CKDATA)/SUMPRODUCT((P_CKDATE&gt;=AG$10)*(P_CKDATE&lt;AG$10+7)*ISNUMBER(P_CKDATA)*P_PM*P_INTYPE),""),"")</f>
        <v/>
      </c>
      <c r="AH18" s="302" t="str">
        <f>IF(ISNUMBER(AH$10),IFERROR(SUMPRODUCT((P_CKDATE&gt;=AH$10)*(P_CKDATE&lt;AH$10+7)*ISNUMBER(P_CKDATA)*P_PM*P_INTYPE,P_CKDATA)/SUMPRODUCT((P_CKDATE&gt;=AH$10)*(P_CKDATE&lt;AH$10+7)*ISNUMBER(P_CKDATA)*P_PM*P_INTYPE),""),"")</f>
        <v/>
      </c>
      <c r="AI18" s="302" t="str">
        <f>IF(ISNUMBER(AI$10),IFERROR(SUMPRODUCT((P_CKDATE&gt;=AI$10)*(P_CKDATE&lt;AI$10+7)*ISNUMBER(P_CKDATA)*P_PM*P_INTYPE,P_CKDATA)/SUMPRODUCT((P_CKDATE&gt;=AI$10)*(P_CKDATE&lt;AI$10+7)*ISNUMBER(P_CKDATA)*P_PM*P_INTYPE),""),"")</f>
        <v/>
      </c>
    </row>
    <row r="19" spans="2:38" s="187" customFormat="1" x14ac:dyDescent="0.2">
      <c r="B19" s="266"/>
      <c r="C19" s="267" t="s">
        <v>349</v>
      </c>
      <c r="D19" s="301" t="str">
        <f>Monthly!D6</f>
        <v/>
      </c>
      <c r="E19" s="302" t="str">
        <f>IF(ISNUMBER(E$10),IFERROR(SUMPRODUCT((M_CKDATE&gt;=E$10)*(M_CKDATE&lt;E$10+7)*ISNUMBER(M_CKDATA)*M_PM*M_INTYPE,M_CKDATA)/SUMPRODUCT((M_CKDATE&gt;=E$10)*(M_CKDATE&lt;E$10+7)*ISNUMBER(M_CKDATA)*M_PM*M_INTYPE),""),"")</f>
        <v/>
      </c>
      <c r="F19" s="302" t="str">
        <f>IF(ISNUMBER(F$10),IFERROR(SUMPRODUCT((M_CKDATE&gt;=F$10)*(M_CKDATE&lt;F$10+7)*ISNUMBER(M_CKDATA)*M_PM*M_INTYPE,M_CKDATA)/SUMPRODUCT((M_CKDATE&gt;=F$10)*(M_CKDATE&lt;F$10+7)*ISNUMBER(M_CKDATA)*M_PM*M_INTYPE),""),"")</f>
        <v/>
      </c>
      <c r="G19" s="302" t="str">
        <f>IF(ISNUMBER(G$10),IFERROR(SUMPRODUCT((M_CKDATE&gt;=G$10)*(M_CKDATE&lt;G$10+7)*ISNUMBER(M_CKDATA)*M_PM*M_INTYPE,M_CKDATA)/SUMPRODUCT((M_CKDATE&gt;=G$10)*(M_CKDATE&lt;G$10+7)*ISNUMBER(M_CKDATA)*M_PM*M_INTYPE),""),"")</f>
        <v/>
      </c>
      <c r="H19" s="302" t="str">
        <f>IF(ISNUMBER(H$10),IFERROR(SUMPRODUCT((M_CKDATE&gt;=H$10)*(M_CKDATE&lt;H$10+7)*ISNUMBER(M_CKDATA)*M_PM*M_INTYPE,M_CKDATA)/SUMPRODUCT((M_CKDATE&gt;=H$10)*(M_CKDATE&lt;H$10+7)*ISNUMBER(M_CKDATA)*M_PM*M_INTYPE),""),"")</f>
        <v/>
      </c>
      <c r="I19" s="302" t="str">
        <f>IF(ISNUMBER(I$10),IFERROR(SUMPRODUCT((M_CKDATE&gt;=I$10)*(M_CKDATE&lt;I$10+7)*ISNUMBER(M_CKDATA)*M_PM*M_INTYPE,M_CKDATA)/SUMPRODUCT((M_CKDATE&gt;=I$10)*(M_CKDATE&lt;I$10+7)*ISNUMBER(M_CKDATA)*M_PM*M_INTYPE),""),"")</f>
        <v/>
      </c>
      <c r="J19" s="302" t="str">
        <f>IF(ISNUMBER(J$10),IFERROR(SUMPRODUCT((M_CKDATE&gt;=J$10)*(M_CKDATE&lt;J$10+7)*ISNUMBER(M_CKDATA)*M_PM*M_INTYPE,M_CKDATA)/SUMPRODUCT((M_CKDATE&gt;=J$10)*(M_CKDATE&lt;J$10+7)*ISNUMBER(M_CKDATA)*M_PM*M_INTYPE),""),"")</f>
        <v/>
      </c>
      <c r="K19" s="302" t="str">
        <f>IF(ISNUMBER(K$10),IFERROR(SUMPRODUCT((M_CKDATE&gt;=K$10)*(M_CKDATE&lt;K$10+7)*ISNUMBER(M_CKDATA)*M_PM*M_INTYPE,M_CKDATA)/SUMPRODUCT((M_CKDATE&gt;=K$10)*(M_CKDATE&lt;K$10+7)*ISNUMBER(M_CKDATA)*M_PM*M_INTYPE),""),"")</f>
        <v/>
      </c>
      <c r="L19" s="302" t="str">
        <f>IF(ISNUMBER(L$10),IFERROR(SUMPRODUCT((M_CKDATE&gt;=L$10)*(M_CKDATE&lt;L$10+7)*ISNUMBER(M_CKDATA)*M_PM*M_INTYPE,M_CKDATA)/SUMPRODUCT((M_CKDATE&gt;=L$10)*(M_CKDATE&lt;L$10+7)*ISNUMBER(M_CKDATA)*M_PM*M_INTYPE),""),"")</f>
        <v/>
      </c>
      <c r="M19" s="302" t="str">
        <f>IF(ISNUMBER(M$10),IFERROR(SUMPRODUCT((M_CKDATE&gt;=M$10)*(M_CKDATE&lt;M$10+7)*ISNUMBER(M_CKDATA)*M_PM*M_INTYPE,M_CKDATA)/SUMPRODUCT((M_CKDATE&gt;=M$10)*(M_CKDATE&lt;M$10+7)*ISNUMBER(M_CKDATA)*M_PM*M_INTYPE),""),"")</f>
        <v/>
      </c>
      <c r="N19" s="302" t="str">
        <f>IF(ISNUMBER(N$10),IFERROR(SUMPRODUCT((M_CKDATE&gt;=N$10)*(M_CKDATE&lt;N$10+7)*ISNUMBER(M_CKDATA)*M_PM*M_INTYPE,M_CKDATA)/SUMPRODUCT((M_CKDATE&gt;=N$10)*(M_CKDATE&lt;N$10+7)*ISNUMBER(M_CKDATA)*M_PM*M_INTYPE),""),"")</f>
        <v/>
      </c>
      <c r="O19" s="302" t="str">
        <f>IF(ISNUMBER(O$10),IFERROR(SUMPRODUCT((M_CKDATE&gt;=O$10)*(M_CKDATE&lt;O$10+7)*ISNUMBER(M_CKDATA)*M_PM*M_INTYPE,M_CKDATA)/SUMPRODUCT((M_CKDATE&gt;=O$10)*(M_CKDATE&lt;O$10+7)*ISNUMBER(M_CKDATA)*M_PM*M_INTYPE),""),"")</f>
        <v/>
      </c>
      <c r="P19" s="302" t="str">
        <f>IF(ISNUMBER(P$10),IFERROR(SUMPRODUCT((M_CKDATE&gt;=P$10)*(M_CKDATE&lt;P$10+7)*ISNUMBER(M_CKDATA)*M_PM*M_INTYPE,M_CKDATA)/SUMPRODUCT((M_CKDATE&gt;=P$10)*(M_CKDATE&lt;P$10+7)*ISNUMBER(M_CKDATA)*M_PM*M_INTYPE),""),"")</f>
        <v/>
      </c>
      <c r="Q19" s="302" t="str">
        <f>IF(ISNUMBER(Q$10),IFERROR(SUMPRODUCT((M_CKDATE&gt;=Q$10)*(M_CKDATE&lt;Q$10+7)*ISNUMBER(M_CKDATA)*M_PM*M_INTYPE,M_CKDATA)/SUMPRODUCT((M_CKDATE&gt;=Q$10)*(M_CKDATE&lt;Q$10+7)*ISNUMBER(M_CKDATA)*M_PM*M_INTYPE),""),"")</f>
        <v/>
      </c>
      <c r="R19" s="302" t="str">
        <f>IF(ISNUMBER(R$10),IFERROR(SUMPRODUCT((M_CKDATE&gt;=R$10)*(M_CKDATE&lt;R$10+7)*ISNUMBER(M_CKDATA)*M_PM*M_INTYPE,M_CKDATA)/SUMPRODUCT((M_CKDATE&gt;=R$10)*(M_CKDATE&lt;R$10+7)*ISNUMBER(M_CKDATA)*M_PM*M_INTYPE),""),"")</f>
        <v/>
      </c>
      <c r="S19" s="302" t="str">
        <f>IF(ISNUMBER(S$10),IFERROR(SUMPRODUCT((M_CKDATE&gt;=S$10)*(M_CKDATE&lt;S$10+7)*ISNUMBER(M_CKDATA)*M_PM*M_INTYPE,M_CKDATA)/SUMPRODUCT((M_CKDATE&gt;=S$10)*(M_CKDATE&lt;S$10+7)*ISNUMBER(M_CKDATA)*M_PM*M_INTYPE),""),"")</f>
        <v/>
      </c>
      <c r="T19" s="302" t="str">
        <f>IF(ISNUMBER(T$10),IFERROR(SUMPRODUCT((M_CKDATE&gt;=T$10)*(M_CKDATE&lt;T$10+7)*ISNUMBER(M_CKDATA)*M_PM*M_INTYPE,M_CKDATA)/SUMPRODUCT((M_CKDATE&gt;=T$10)*(M_CKDATE&lt;T$10+7)*ISNUMBER(M_CKDATA)*M_PM*M_INTYPE),""),"")</f>
        <v/>
      </c>
      <c r="U19" s="302" t="str">
        <f>IF(ISNUMBER(U$10),IFERROR(SUMPRODUCT((M_CKDATE&gt;=U$10)*(M_CKDATE&lt;U$10+7)*ISNUMBER(M_CKDATA)*M_PM*M_INTYPE,M_CKDATA)/SUMPRODUCT((M_CKDATE&gt;=U$10)*(M_CKDATE&lt;U$10+7)*ISNUMBER(M_CKDATA)*M_PM*M_INTYPE),""),"")</f>
        <v/>
      </c>
      <c r="V19" s="302" t="str">
        <f>IF(ISNUMBER(V$10),IFERROR(SUMPRODUCT((M_CKDATE&gt;=V$10)*(M_CKDATE&lt;V$10+7)*ISNUMBER(M_CKDATA)*M_PM*M_INTYPE,M_CKDATA)/SUMPRODUCT((M_CKDATE&gt;=V$10)*(M_CKDATE&lt;V$10+7)*ISNUMBER(M_CKDATA)*M_PM*M_INTYPE),""),"")</f>
        <v/>
      </c>
      <c r="W19" s="302" t="str">
        <f>IF(ISNUMBER(W$10),IFERROR(SUMPRODUCT((M_CKDATE&gt;=W$10)*(M_CKDATE&lt;W$10+7)*ISNUMBER(M_CKDATA)*M_PM*M_INTYPE,M_CKDATA)/SUMPRODUCT((M_CKDATE&gt;=W$10)*(M_CKDATE&lt;W$10+7)*ISNUMBER(M_CKDATA)*M_PM*M_INTYPE),""),"")</f>
        <v/>
      </c>
      <c r="X19" s="302" t="str">
        <f>IF(ISNUMBER(X$10),IFERROR(SUMPRODUCT((M_CKDATE&gt;=X$10)*(M_CKDATE&lt;X$10+7)*ISNUMBER(M_CKDATA)*M_PM*M_INTYPE,M_CKDATA)/SUMPRODUCT((M_CKDATE&gt;=X$10)*(M_CKDATE&lt;X$10+7)*ISNUMBER(M_CKDATA)*M_PM*M_INTYPE),""),"")</f>
        <v/>
      </c>
      <c r="Y19" s="302" t="str">
        <f>IF(ISNUMBER(Y$10),IFERROR(SUMPRODUCT((M_CKDATE&gt;=Y$10)*(M_CKDATE&lt;Y$10+7)*ISNUMBER(M_CKDATA)*M_PM*M_INTYPE,M_CKDATA)/SUMPRODUCT((M_CKDATE&gt;=Y$10)*(M_CKDATE&lt;Y$10+7)*ISNUMBER(M_CKDATA)*M_PM*M_INTYPE),""),"")</f>
        <v/>
      </c>
      <c r="Z19" s="302" t="str">
        <f>IF(ISNUMBER(Z$10),IFERROR(SUMPRODUCT((M_CKDATE&gt;=Z$10)*(M_CKDATE&lt;Z$10+7)*ISNUMBER(M_CKDATA)*M_PM*M_INTYPE,M_CKDATA)/SUMPRODUCT((M_CKDATE&gt;=Z$10)*(M_CKDATE&lt;Z$10+7)*ISNUMBER(M_CKDATA)*M_PM*M_INTYPE),""),"")</f>
        <v/>
      </c>
      <c r="AA19" s="302" t="str">
        <f>IF(ISNUMBER(AA$10),IFERROR(SUMPRODUCT((M_CKDATE&gt;=AA$10)*(M_CKDATE&lt;AA$10+7)*ISNUMBER(M_CKDATA)*M_PM*M_INTYPE,M_CKDATA)/SUMPRODUCT((M_CKDATE&gt;=AA$10)*(M_CKDATE&lt;AA$10+7)*ISNUMBER(M_CKDATA)*M_PM*M_INTYPE),""),"")</f>
        <v/>
      </c>
      <c r="AB19" s="302" t="str">
        <f>IF(ISNUMBER(AB$10),IFERROR(SUMPRODUCT((M_CKDATE&gt;=AB$10)*(M_CKDATE&lt;AB$10+7)*ISNUMBER(M_CKDATA)*M_PM*M_INTYPE,M_CKDATA)/SUMPRODUCT((M_CKDATE&gt;=AB$10)*(M_CKDATE&lt;AB$10+7)*ISNUMBER(M_CKDATA)*M_PM*M_INTYPE),""),"")</f>
        <v/>
      </c>
      <c r="AC19" s="302" t="str">
        <f>IF(ISNUMBER(AC$10),IFERROR(SUMPRODUCT((M_CKDATE&gt;=AC$10)*(M_CKDATE&lt;AC$10+7)*ISNUMBER(M_CKDATA)*M_PM*M_INTYPE,M_CKDATA)/SUMPRODUCT((M_CKDATE&gt;=AC$10)*(M_CKDATE&lt;AC$10+7)*ISNUMBER(M_CKDATA)*M_PM*M_INTYPE),""),"")</f>
        <v/>
      </c>
      <c r="AD19" s="302" t="str">
        <f>IF(ISNUMBER(AD$10),IFERROR(SUMPRODUCT((M_CKDATE&gt;=AD$10)*(M_CKDATE&lt;AD$10+7)*ISNUMBER(M_CKDATA)*M_PM*M_INTYPE,M_CKDATA)/SUMPRODUCT((M_CKDATE&gt;=AD$10)*(M_CKDATE&lt;AD$10+7)*ISNUMBER(M_CKDATA)*M_PM*M_INTYPE),""),"")</f>
        <v/>
      </c>
      <c r="AE19" s="302" t="str">
        <f>IF(ISNUMBER(AE$10),IFERROR(SUMPRODUCT((M_CKDATE&gt;=AE$10)*(M_CKDATE&lt;AE$10+7)*ISNUMBER(M_CKDATA)*M_PM*M_INTYPE,M_CKDATA)/SUMPRODUCT((M_CKDATE&gt;=AE$10)*(M_CKDATE&lt;AE$10+7)*ISNUMBER(M_CKDATA)*M_PM*M_INTYPE),""),"")</f>
        <v/>
      </c>
      <c r="AF19" s="302" t="str">
        <f>IF(ISNUMBER(AF$10),IFERROR(SUMPRODUCT((M_CKDATE&gt;=AF$10)*(M_CKDATE&lt;AF$10+7)*ISNUMBER(M_CKDATA)*M_PM*M_INTYPE,M_CKDATA)/SUMPRODUCT((M_CKDATE&gt;=AF$10)*(M_CKDATE&lt;AF$10+7)*ISNUMBER(M_CKDATA)*M_PM*M_INTYPE),""),"")</f>
        <v/>
      </c>
      <c r="AG19" s="302" t="str">
        <f>IF(ISNUMBER(AG$10),IFERROR(SUMPRODUCT((M_CKDATE&gt;=AG$10)*(M_CKDATE&lt;AG$10+7)*ISNUMBER(M_CKDATA)*M_PM*M_INTYPE,M_CKDATA)/SUMPRODUCT((M_CKDATE&gt;=AG$10)*(M_CKDATE&lt;AG$10+7)*ISNUMBER(M_CKDATA)*M_PM*M_INTYPE),""),"")</f>
        <v/>
      </c>
      <c r="AH19" s="302" t="str">
        <f>IF(ISNUMBER(AH$10),IFERROR(SUMPRODUCT((M_CKDATE&gt;=AH$10)*(M_CKDATE&lt;AH$10+7)*ISNUMBER(M_CKDATA)*M_PM*M_INTYPE,M_CKDATA)/SUMPRODUCT((M_CKDATE&gt;=AH$10)*(M_CKDATE&lt;AH$10+7)*ISNUMBER(M_CKDATA)*M_PM*M_INTYPE),""),"")</f>
        <v/>
      </c>
      <c r="AI19" s="302" t="str">
        <f>IF(ISNUMBER(AI$10),IFERROR(SUMPRODUCT((M_CKDATE&gt;=AI$10)*(M_CKDATE&lt;AI$10+7)*ISNUMBER(M_CKDATA)*M_PM*M_INTYPE,M_CKDATA)/SUMPRODUCT((M_CKDATE&gt;=AI$10)*(M_CKDATE&lt;AI$10+7)*ISNUMBER(M_CKDATA)*M_PM*M_INTYPE),""),"")</f>
        <v/>
      </c>
    </row>
    <row r="20" spans="2:38" s="187" customFormat="1" x14ac:dyDescent="0.2">
      <c r="B20" s="266"/>
      <c r="C20" s="267" t="s">
        <v>342</v>
      </c>
      <c r="D20" s="301" t="str">
        <f>Weekly!D6</f>
        <v/>
      </c>
      <c r="E20" s="302" t="str">
        <f>IF(ISNUMBER(E$10),IFERROR(SUMPRODUCT((W_CKDATE&gt;=E$10)*(W_CKDATE&lt;E$10+7)*ISNUMBER(W_CKDATA)*W_PM*W_INTYPE,W_CKDATA)/SUMPRODUCT((W_CKDATE&gt;=E$10)*(W_CKDATE&lt;E$10+7)*ISNUMBER(W_CKDATA)*W_PM*W_INTYPE),""),"")</f>
        <v/>
      </c>
      <c r="F20" s="302" t="str">
        <f>IF(ISNUMBER(F$10),IFERROR(SUMPRODUCT((W_CKDATE&gt;=F$10)*(W_CKDATE&lt;F$10+7)*ISNUMBER(W_CKDATA)*W_PM*W_INTYPE,W_CKDATA)/SUMPRODUCT((W_CKDATE&gt;=F$10)*(W_CKDATE&lt;F$10+7)*ISNUMBER(W_CKDATA)*W_PM*W_INTYPE),""),"")</f>
        <v/>
      </c>
      <c r="G20" s="302" t="str">
        <f>IF(ISNUMBER(G$10),IFERROR(SUMPRODUCT((W_CKDATE&gt;=G$10)*(W_CKDATE&lt;G$10+7)*ISNUMBER(W_CKDATA)*W_PM*W_INTYPE,W_CKDATA)/SUMPRODUCT((W_CKDATE&gt;=G$10)*(W_CKDATE&lt;G$10+7)*ISNUMBER(W_CKDATA)*W_PM*W_INTYPE),""),"")</f>
        <v/>
      </c>
      <c r="H20" s="302" t="str">
        <f>IF(ISNUMBER(H$10),IFERROR(SUMPRODUCT((W_CKDATE&gt;=H$10)*(W_CKDATE&lt;H$10+7)*ISNUMBER(W_CKDATA)*W_PM*W_INTYPE,W_CKDATA)/SUMPRODUCT((W_CKDATE&gt;=H$10)*(W_CKDATE&lt;H$10+7)*ISNUMBER(W_CKDATA)*W_PM*W_INTYPE),""),"")</f>
        <v/>
      </c>
      <c r="I20" s="302" t="str">
        <f>IF(ISNUMBER(I$10),IFERROR(SUMPRODUCT((W_CKDATE&gt;=I$10)*(W_CKDATE&lt;I$10+7)*ISNUMBER(W_CKDATA)*W_PM*W_INTYPE,W_CKDATA)/SUMPRODUCT((W_CKDATE&gt;=I$10)*(W_CKDATE&lt;I$10+7)*ISNUMBER(W_CKDATA)*W_PM*W_INTYPE),""),"")</f>
        <v/>
      </c>
      <c r="J20" s="302" t="str">
        <f>IF(ISNUMBER(J$10),IFERROR(SUMPRODUCT((W_CKDATE&gt;=J$10)*(W_CKDATE&lt;J$10+7)*ISNUMBER(W_CKDATA)*W_PM*W_INTYPE,W_CKDATA)/SUMPRODUCT((W_CKDATE&gt;=J$10)*(W_CKDATE&lt;J$10+7)*ISNUMBER(W_CKDATA)*W_PM*W_INTYPE),""),"")</f>
        <v/>
      </c>
      <c r="K20" s="302" t="str">
        <f>IF(ISNUMBER(K$10),IFERROR(SUMPRODUCT((W_CKDATE&gt;=K$10)*(W_CKDATE&lt;K$10+7)*ISNUMBER(W_CKDATA)*W_PM*W_INTYPE,W_CKDATA)/SUMPRODUCT((W_CKDATE&gt;=K$10)*(W_CKDATE&lt;K$10+7)*ISNUMBER(W_CKDATA)*W_PM*W_INTYPE),""),"")</f>
        <v/>
      </c>
      <c r="L20" s="302" t="str">
        <f>IF(ISNUMBER(L$10),IFERROR(SUMPRODUCT((W_CKDATE&gt;=L$10)*(W_CKDATE&lt;L$10+7)*ISNUMBER(W_CKDATA)*W_PM*W_INTYPE,W_CKDATA)/SUMPRODUCT((W_CKDATE&gt;=L$10)*(W_CKDATE&lt;L$10+7)*ISNUMBER(W_CKDATA)*W_PM*W_INTYPE),""),"")</f>
        <v/>
      </c>
      <c r="M20" s="302" t="str">
        <f>IF(ISNUMBER(M$10),IFERROR(SUMPRODUCT((W_CKDATE&gt;=M$10)*(W_CKDATE&lt;M$10+7)*ISNUMBER(W_CKDATA)*W_PM*W_INTYPE,W_CKDATA)/SUMPRODUCT((W_CKDATE&gt;=M$10)*(W_CKDATE&lt;M$10+7)*ISNUMBER(W_CKDATA)*W_PM*W_INTYPE),""),"")</f>
        <v/>
      </c>
      <c r="N20" s="302" t="str">
        <f>IF(ISNUMBER(N$10),IFERROR(SUMPRODUCT((W_CKDATE&gt;=N$10)*(W_CKDATE&lt;N$10+7)*ISNUMBER(W_CKDATA)*W_PM*W_INTYPE,W_CKDATA)/SUMPRODUCT((W_CKDATE&gt;=N$10)*(W_CKDATE&lt;N$10+7)*ISNUMBER(W_CKDATA)*W_PM*W_INTYPE),""),"")</f>
        <v/>
      </c>
      <c r="O20" s="302" t="str">
        <f>IF(ISNUMBER(O$10),IFERROR(SUMPRODUCT((W_CKDATE&gt;=O$10)*(W_CKDATE&lt;O$10+7)*ISNUMBER(W_CKDATA)*W_PM*W_INTYPE,W_CKDATA)/SUMPRODUCT((W_CKDATE&gt;=O$10)*(W_CKDATE&lt;O$10+7)*ISNUMBER(W_CKDATA)*W_PM*W_INTYPE),""),"")</f>
        <v/>
      </c>
      <c r="P20" s="302" t="str">
        <f>IF(ISNUMBER(P$10),IFERROR(SUMPRODUCT((W_CKDATE&gt;=P$10)*(W_CKDATE&lt;P$10+7)*ISNUMBER(W_CKDATA)*W_PM*W_INTYPE,W_CKDATA)/SUMPRODUCT((W_CKDATE&gt;=P$10)*(W_CKDATE&lt;P$10+7)*ISNUMBER(W_CKDATA)*W_PM*W_INTYPE),""),"")</f>
        <v/>
      </c>
      <c r="Q20" s="302" t="str">
        <f>IF(ISNUMBER(Q$10),IFERROR(SUMPRODUCT((W_CKDATE&gt;=Q$10)*(W_CKDATE&lt;Q$10+7)*ISNUMBER(W_CKDATA)*W_PM*W_INTYPE,W_CKDATA)/SUMPRODUCT((W_CKDATE&gt;=Q$10)*(W_CKDATE&lt;Q$10+7)*ISNUMBER(W_CKDATA)*W_PM*W_INTYPE),""),"")</f>
        <v/>
      </c>
      <c r="R20" s="302" t="str">
        <f>IF(ISNUMBER(R$10),IFERROR(SUMPRODUCT((W_CKDATE&gt;=R$10)*(W_CKDATE&lt;R$10+7)*ISNUMBER(W_CKDATA)*W_PM*W_INTYPE,W_CKDATA)/SUMPRODUCT((W_CKDATE&gt;=R$10)*(W_CKDATE&lt;R$10+7)*ISNUMBER(W_CKDATA)*W_PM*W_INTYPE),""),"")</f>
        <v/>
      </c>
      <c r="S20" s="302" t="str">
        <f>IF(ISNUMBER(S$10),IFERROR(SUMPRODUCT((W_CKDATE&gt;=S$10)*(W_CKDATE&lt;S$10+7)*ISNUMBER(W_CKDATA)*W_PM*W_INTYPE,W_CKDATA)/SUMPRODUCT((W_CKDATE&gt;=S$10)*(W_CKDATE&lt;S$10+7)*ISNUMBER(W_CKDATA)*W_PM*W_INTYPE),""),"")</f>
        <v/>
      </c>
      <c r="T20" s="302" t="str">
        <f>IF(ISNUMBER(T$10),IFERROR(SUMPRODUCT((W_CKDATE&gt;=T$10)*(W_CKDATE&lt;T$10+7)*ISNUMBER(W_CKDATA)*W_PM*W_INTYPE,W_CKDATA)/SUMPRODUCT((W_CKDATE&gt;=T$10)*(W_CKDATE&lt;T$10+7)*ISNUMBER(W_CKDATA)*W_PM*W_INTYPE),""),"")</f>
        <v/>
      </c>
      <c r="U20" s="302" t="str">
        <f>IF(ISNUMBER(U$10),IFERROR(SUMPRODUCT((W_CKDATE&gt;=U$10)*(W_CKDATE&lt;U$10+7)*ISNUMBER(W_CKDATA)*W_PM*W_INTYPE,W_CKDATA)/SUMPRODUCT((W_CKDATE&gt;=U$10)*(W_CKDATE&lt;U$10+7)*ISNUMBER(W_CKDATA)*W_PM*W_INTYPE),""),"")</f>
        <v/>
      </c>
      <c r="V20" s="302" t="str">
        <f>IF(ISNUMBER(V$10),IFERROR(SUMPRODUCT((W_CKDATE&gt;=V$10)*(W_CKDATE&lt;V$10+7)*ISNUMBER(W_CKDATA)*W_PM*W_INTYPE,W_CKDATA)/SUMPRODUCT((W_CKDATE&gt;=V$10)*(W_CKDATE&lt;V$10+7)*ISNUMBER(W_CKDATA)*W_PM*W_INTYPE),""),"")</f>
        <v/>
      </c>
      <c r="W20" s="302" t="str">
        <f>IF(ISNUMBER(W$10),IFERROR(SUMPRODUCT((W_CKDATE&gt;=W$10)*(W_CKDATE&lt;W$10+7)*ISNUMBER(W_CKDATA)*W_PM*W_INTYPE,W_CKDATA)/SUMPRODUCT((W_CKDATE&gt;=W$10)*(W_CKDATE&lt;W$10+7)*ISNUMBER(W_CKDATA)*W_PM*W_INTYPE),""),"")</f>
        <v/>
      </c>
      <c r="X20" s="302" t="str">
        <f>IF(ISNUMBER(X$10),IFERROR(SUMPRODUCT((W_CKDATE&gt;=X$10)*(W_CKDATE&lt;X$10+7)*ISNUMBER(W_CKDATA)*W_PM*W_INTYPE,W_CKDATA)/SUMPRODUCT((W_CKDATE&gt;=X$10)*(W_CKDATE&lt;X$10+7)*ISNUMBER(W_CKDATA)*W_PM*W_INTYPE),""),"")</f>
        <v/>
      </c>
      <c r="Y20" s="302" t="str">
        <f>IF(ISNUMBER(Y$10),IFERROR(SUMPRODUCT((W_CKDATE&gt;=Y$10)*(W_CKDATE&lt;Y$10+7)*ISNUMBER(W_CKDATA)*W_PM*W_INTYPE,W_CKDATA)/SUMPRODUCT((W_CKDATE&gt;=Y$10)*(W_CKDATE&lt;Y$10+7)*ISNUMBER(W_CKDATA)*W_PM*W_INTYPE),""),"")</f>
        <v/>
      </c>
      <c r="Z20" s="302" t="str">
        <f>IF(ISNUMBER(Z$10),IFERROR(SUMPRODUCT((W_CKDATE&gt;=Z$10)*(W_CKDATE&lt;Z$10+7)*ISNUMBER(W_CKDATA)*W_PM*W_INTYPE,W_CKDATA)/SUMPRODUCT((W_CKDATE&gt;=Z$10)*(W_CKDATE&lt;Z$10+7)*ISNUMBER(W_CKDATA)*W_PM*W_INTYPE),""),"")</f>
        <v/>
      </c>
      <c r="AA20" s="302" t="str">
        <f>IF(ISNUMBER(AA$10),IFERROR(SUMPRODUCT((W_CKDATE&gt;=AA$10)*(W_CKDATE&lt;AA$10+7)*ISNUMBER(W_CKDATA)*W_PM*W_INTYPE,W_CKDATA)/SUMPRODUCT((W_CKDATE&gt;=AA$10)*(W_CKDATE&lt;AA$10+7)*ISNUMBER(W_CKDATA)*W_PM*W_INTYPE),""),"")</f>
        <v/>
      </c>
      <c r="AB20" s="302" t="str">
        <f>IF(ISNUMBER(AB$10),IFERROR(SUMPRODUCT((W_CKDATE&gt;=AB$10)*(W_CKDATE&lt;AB$10+7)*ISNUMBER(W_CKDATA)*W_PM*W_INTYPE,W_CKDATA)/SUMPRODUCT((W_CKDATE&gt;=AB$10)*(W_CKDATE&lt;AB$10+7)*ISNUMBER(W_CKDATA)*W_PM*W_INTYPE),""),"")</f>
        <v/>
      </c>
      <c r="AC20" s="302" t="str">
        <f>IF(ISNUMBER(AC$10),IFERROR(SUMPRODUCT((W_CKDATE&gt;=AC$10)*(W_CKDATE&lt;AC$10+7)*ISNUMBER(W_CKDATA)*W_PM*W_INTYPE,W_CKDATA)/SUMPRODUCT((W_CKDATE&gt;=AC$10)*(W_CKDATE&lt;AC$10+7)*ISNUMBER(W_CKDATA)*W_PM*W_INTYPE),""),"")</f>
        <v/>
      </c>
      <c r="AD20" s="302" t="str">
        <f>IF(ISNUMBER(AD$10),IFERROR(SUMPRODUCT((W_CKDATE&gt;=AD$10)*(W_CKDATE&lt;AD$10+7)*ISNUMBER(W_CKDATA)*W_PM*W_INTYPE,W_CKDATA)/SUMPRODUCT((W_CKDATE&gt;=AD$10)*(W_CKDATE&lt;AD$10+7)*ISNUMBER(W_CKDATA)*W_PM*W_INTYPE),""),"")</f>
        <v/>
      </c>
      <c r="AE20" s="302" t="str">
        <f>IF(ISNUMBER(AE$10),IFERROR(SUMPRODUCT((W_CKDATE&gt;=AE$10)*(W_CKDATE&lt;AE$10+7)*ISNUMBER(W_CKDATA)*W_PM*W_INTYPE,W_CKDATA)/SUMPRODUCT((W_CKDATE&gt;=AE$10)*(W_CKDATE&lt;AE$10+7)*ISNUMBER(W_CKDATA)*W_PM*W_INTYPE),""),"")</f>
        <v/>
      </c>
      <c r="AF20" s="302" t="str">
        <f>IF(ISNUMBER(AF$10),IFERROR(SUMPRODUCT((W_CKDATE&gt;=AF$10)*(W_CKDATE&lt;AF$10+7)*ISNUMBER(W_CKDATA)*W_PM*W_INTYPE,W_CKDATA)/SUMPRODUCT((W_CKDATE&gt;=AF$10)*(W_CKDATE&lt;AF$10+7)*ISNUMBER(W_CKDATA)*W_PM*W_INTYPE),""),"")</f>
        <v/>
      </c>
      <c r="AG20" s="302" t="str">
        <f>IF(ISNUMBER(AG$10),IFERROR(SUMPRODUCT((W_CKDATE&gt;=AG$10)*(W_CKDATE&lt;AG$10+7)*ISNUMBER(W_CKDATA)*W_PM*W_INTYPE,W_CKDATA)/SUMPRODUCT((W_CKDATE&gt;=AG$10)*(W_CKDATE&lt;AG$10+7)*ISNUMBER(W_CKDATA)*W_PM*W_INTYPE),""),"")</f>
        <v/>
      </c>
      <c r="AH20" s="302" t="str">
        <f>IF(ISNUMBER(AH$10),IFERROR(SUMPRODUCT((W_CKDATE&gt;=AH$10)*(W_CKDATE&lt;AH$10+7)*ISNUMBER(W_CKDATA)*W_PM*W_INTYPE,W_CKDATA)/SUMPRODUCT((W_CKDATE&gt;=AH$10)*(W_CKDATE&lt;AH$10+7)*ISNUMBER(W_CKDATA)*W_PM*W_INTYPE),""),"")</f>
        <v/>
      </c>
      <c r="AI20" s="302" t="str">
        <f>IF(ISNUMBER(AI$10),IFERROR(SUMPRODUCT((W_CKDATE&gt;=AI$10)*(W_CKDATE&lt;AI$10+7)*ISNUMBER(W_CKDATA)*W_PM*W_INTYPE,W_CKDATA)/SUMPRODUCT((W_CKDATE&gt;=AI$10)*(W_CKDATE&lt;AI$10+7)*ISNUMBER(W_CKDATA)*W_PM*W_INTYPE),""),"")</f>
        <v/>
      </c>
    </row>
    <row r="21" spans="2:38" s="187" customFormat="1" x14ac:dyDescent="0.2">
      <c r="B21" s="266"/>
      <c r="C21" s="267" t="s">
        <v>359</v>
      </c>
      <c r="D21" s="301" t="str">
        <f>Baseline!D6</f>
        <v/>
      </c>
      <c r="E21" s="302" t="str">
        <f>IF(ISNUMBER(E$10),IFERROR(SUMPRODUCT((B_CKDATE&gt;=E$10)*(B_CKDATE&lt;E$10+7)*ISNUMBER(B_CKDATA)*B_PM*B_INTYPE,B_CKDATA)/SUMPRODUCT((B_CKDATE&gt;=E$10)*(B_CKDATE&lt;E$10+7)*ISNUMBER(B_CKDATA)*B_PM*B_INTYPE),""),"")</f>
        <v/>
      </c>
      <c r="F21" s="302" t="str">
        <f>IF(ISNUMBER(F$10),IFERROR(SUMPRODUCT((B_CKDATE&gt;=F$10)*(B_CKDATE&lt;F$10+7)*ISNUMBER(B_CKDATA)*B_PM*B_INTYPE,B_CKDATA)/SUMPRODUCT((B_CKDATE&gt;=F$10)*(B_CKDATE&lt;F$10+7)*ISNUMBER(B_CKDATA)*B_PM*B_INTYPE),""),"")</f>
        <v/>
      </c>
      <c r="G21" s="302" t="str">
        <f>IF(ISNUMBER(G$10),IFERROR(SUMPRODUCT((B_CKDATE&gt;=G$10)*(B_CKDATE&lt;G$10+7)*ISNUMBER(B_CKDATA)*B_PM*B_INTYPE,B_CKDATA)/SUMPRODUCT((B_CKDATE&gt;=G$10)*(B_CKDATE&lt;G$10+7)*ISNUMBER(B_CKDATA)*B_PM*B_INTYPE),""),"")</f>
        <v/>
      </c>
      <c r="H21" s="302" t="str">
        <f>IF(ISNUMBER(H$10),IFERROR(SUMPRODUCT((B_CKDATE&gt;=H$10)*(B_CKDATE&lt;H$10+7)*ISNUMBER(B_CKDATA)*B_PM*B_INTYPE,B_CKDATA)/SUMPRODUCT((B_CKDATE&gt;=H$10)*(B_CKDATE&lt;H$10+7)*ISNUMBER(B_CKDATA)*B_PM*B_INTYPE),""),"")</f>
        <v/>
      </c>
      <c r="I21" s="302" t="str">
        <f>IF(ISNUMBER(I$10),IFERROR(SUMPRODUCT((B_CKDATE&gt;=I$10)*(B_CKDATE&lt;I$10+7)*ISNUMBER(B_CKDATA)*B_PM*B_INTYPE,B_CKDATA)/SUMPRODUCT((B_CKDATE&gt;=I$10)*(B_CKDATE&lt;I$10+7)*ISNUMBER(B_CKDATA)*B_PM*B_INTYPE),""),"")</f>
        <v/>
      </c>
      <c r="J21" s="302" t="str">
        <f>IF(ISNUMBER(J$10),IFERROR(SUMPRODUCT((B_CKDATE&gt;=J$10)*(B_CKDATE&lt;J$10+7)*ISNUMBER(B_CKDATA)*B_PM*B_INTYPE,B_CKDATA)/SUMPRODUCT((B_CKDATE&gt;=J$10)*(B_CKDATE&lt;J$10+7)*ISNUMBER(B_CKDATA)*B_PM*B_INTYPE),""),"")</f>
        <v/>
      </c>
      <c r="K21" s="302" t="str">
        <f>IF(ISNUMBER(K$10),IFERROR(SUMPRODUCT((B_CKDATE&gt;=K$10)*(B_CKDATE&lt;K$10+7)*ISNUMBER(B_CKDATA)*B_PM*B_INTYPE,B_CKDATA)/SUMPRODUCT((B_CKDATE&gt;=K$10)*(B_CKDATE&lt;K$10+7)*ISNUMBER(B_CKDATA)*B_PM*B_INTYPE),""),"")</f>
        <v/>
      </c>
      <c r="L21" s="302" t="str">
        <f>IF(ISNUMBER(L$10),IFERROR(SUMPRODUCT((B_CKDATE&gt;=L$10)*(B_CKDATE&lt;L$10+7)*ISNUMBER(B_CKDATA)*B_PM*B_INTYPE,B_CKDATA)/SUMPRODUCT((B_CKDATE&gt;=L$10)*(B_CKDATE&lt;L$10+7)*ISNUMBER(B_CKDATA)*B_PM*B_INTYPE),""),"")</f>
        <v/>
      </c>
      <c r="M21" s="302" t="str">
        <f>IF(ISNUMBER(M$10),IFERROR(SUMPRODUCT((B_CKDATE&gt;=M$10)*(B_CKDATE&lt;M$10+7)*ISNUMBER(B_CKDATA)*B_PM*B_INTYPE,B_CKDATA)/SUMPRODUCT((B_CKDATE&gt;=M$10)*(B_CKDATE&lt;M$10+7)*ISNUMBER(B_CKDATA)*B_PM*B_INTYPE),""),"")</f>
        <v/>
      </c>
      <c r="N21" s="302" t="str">
        <f>IF(ISNUMBER(N$10),IFERROR(SUMPRODUCT((B_CKDATE&gt;=N$10)*(B_CKDATE&lt;N$10+7)*ISNUMBER(B_CKDATA)*B_PM*B_INTYPE,B_CKDATA)/SUMPRODUCT((B_CKDATE&gt;=N$10)*(B_CKDATE&lt;N$10+7)*ISNUMBER(B_CKDATA)*B_PM*B_INTYPE),""),"")</f>
        <v/>
      </c>
      <c r="O21" s="302" t="str">
        <f>IF(ISNUMBER(O$10),IFERROR(SUMPRODUCT((B_CKDATE&gt;=O$10)*(B_CKDATE&lt;O$10+7)*ISNUMBER(B_CKDATA)*B_PM*B_INTYPE,B_CKDATA)/SUMPRODUCT((B_CKDATE&gt;=O$10)*(B_CKDATE&lt;O$10+7)*ISNUMBER(B_CKDATA)*B_PM*B_INTYPE),""),"")</f>
        <v/>
      </c>
      <c r="P21" s="302" t="str">
        <f>IF(ISNUMBER(P$10),IFERROR(SUMPRODUCT((B_CKDATE&gt;=P$10)*(B_CKDATE&lt;P$10+7)*ISNUMBER(B_CKDATA)*B_PM*B_INTYPE,B_CKDATA)/SUMPRODUCT((B_CKDATE&gt;=P$10)*(B_CKDATE&lt;P$10+7)*ISNUMBER(B_CKDATA)*B_PM*B_INTYPE),""),"")</f>
        <v/>
      </c>
      <c r="Q21" s="302" t="str">
        <f>IF(ISNUMBER(Q$10),IFERROR(SUMPRODUCT((B_CKDATE&gt;=Q$10)*(B_CKDATE&lt;Q$10+7)*ISNUMBER(B_CKDATA)*B_PM*B_INTYPE,B_CKDATA)/SUMPRODUCT((B_CKDATE&gt;=Q$10)*(B_CKDATE&lt;Q$10+7)*ISNUMBER(B_CKDATA)*B_PM*B_INTYPE),""),"")</f>
        <v/>
      </c>
      <c r="R21" s="302" t="str">
        <f>IF(ISNUMBER(R$10),IFERROR(SUMPRODUCT((B_CKDATE&gt;=R$10)*(B_CKDATE&lt;R$10+7)*ISNUMBER(B_CKDATA)*B_PM*B_INTYPE,B_CKDATA)/SUMPRODUCT((B_CKDATE&gt;=R$10)*(B_CKDATE&lt;R$10+7)*ISNUMBER(B_CKDATA)*B_PM*B_INTYPE),""),"")</f>
        <v/>
      </c>
      <c r="S21" s="302" t="str">
        <f>IF(ISNUMBER(S$10),IFERROR(SUMPRODUCT((B_CKDATE&gt;=S$10)*(B_CKDATE&lt;S$10+7)*ISNUMBER(B_CKDATA)*B_PM*B_INTYPE,B_CKDATA)/SUMPRODUCT((B_CKDATE&gt;=S$10)*(B_CKDATE&lt;S$10+7)*ISNUMBER(B_CKDATA)*B_PM*B_INTYPE),""),"")</f>
        <v/>
      </c>
      <c r="T21" s="302" t="str">
        <f>IF(ISNUMBER(T$10),IFERROR(SUMPRODUCT((B_CKDATE&gt;=T$10)*(B_CKDATE&lt;T$10+7)*ISNUMBER(B_CKDATA)*B_PM*B_INTYPE,B_CKDATA)/SUMPRODUCT((B_CKDATE&gt;=T$10)*(B_CKDATE&lt;T$10+7)*ISNUMBER(B_CKDATA)*B_PM*B_INTYPE),""),"")</f>
        <v/>
      </c>
      <c r="U21" s="302" t="str">
        <f>IF(ISNUMBER(U$10),IFERROR(SUMPRODUCT((B_CKDATE&gt;=U$10)*(B_CKDATE&lt;U$10+7)*ISNUMBER(B_CKDATA)*B_PM*B_INTYPE,B_CKDATA)/SUMPRODUCT((B_CKDATE&gt;=U$10)*(B_CKDATE&lt;U$10+7)*ISNUMBER(B_CKDATA)*B_PM*B_INTYPE),""),"")</f>
        <v/>
      </c>
      <c r="V21" s="302" t="str">
        <f>IF(ISNUMBER(V$10),IFERROR(SUMPRODUCT((B_CKDATE&gt;=V$10)*(B_CKDATE&lt;V$10+7)*ISNUMBER(B_CKDATA)*B_PM*B_INTYPE,B_CKDATA)/SUMPRODUCT((B_CKDATE&gt;=V$10)*(B_CKDATE&lt;V$10+7)*ISNUMBER(B_CKDATA)*B_PM*B_INTYPE),""),"")</f>
        <v/>
      </c>
      <c r="W21" s="302" t="str">
        <f>IF(ISNUMBER(W$10),IFERROR(SUMPRODUCT((B_CKDATE&gt;=W$10)*(B_CKDATE&lt;W$10+7)*ISNUMBER(B_CKDATA)*B_PM*B_INTYPE,B_CKDATA)/SUMPRODUCT((B_CKDATE&gt;=W$10)*(B_CKDATE&lt;W$10+7)*ISNUMBER(B_CKDATA)*B_PM*B_INTYPE),""),"")</f>
        <v/>
      </c>
      <c r="X21" s="302" t="str">
        <f>IF(ISNUMBER(X$10),IFERROR(SUMPRODUCT((B_CKDATE&gt;=X$10)*(B_CKDATE&lt;X$10+7)*ISNUMBER(B_CKDATA)*B_PM*B_INTYPE,B_CKDATA)/SUMPRODUCT((B_CKDATE&gt;=X$10)*(B_CKDATE&lt;X$10+7)*ISNUMBER(B_CKDATA)*B_PM*B_INTYPE),""),"")</f>
        <v/>
      </c>
      <c r="Y21" s="302" t="str">
        <f>IF(ISNUMBER(Y$10),IFERROR(SUMPRODUCT((B_CKDATE&gt;=Y$10)*(B_CKDATE&lt;Y$10+7)*ISNUMBER(B_CKDATA)*B_PM*B_INTYPE,B_CKDATA)/SUMPRODUCT((B_CKDATE&gt;=Y$10)*(B_CKDATE&lt;Y$10+7)*ISNUMBER(B_CKDATA)*B_PM*B_INTYPE),""),"")</f>
        <v/>
      </c>
      <c r="Z21" s="302" t="str">
        <f>IF(ISNUMBER(Z$10),IFERROR(SUMPRODUCT((B_CKDATE&gt;=Z$10)*(B_CKDATE&lt;Z$10+7)*ISNUMBER(B_CKDATA)*B_PM*B_INTYPE,B_CKDATA)/SUMPRODUCT((B_CKDATE&gt;=Z$10)*(B_CKDATE&lt;Z$10+7)*ISNUMBER(B_CKDATA)*B_PM*B_INTYPE),""),"")</f>
        <v/>
      </c>
      <c r="AA21" s="302" t="str">
        <f>IF(ISNUMBER(AA$10),IFERROR(SUMPRODUCT((B_CKDATE&gt;=AA$10)*(B_CKDATE&lt;AA$10+7)*ISNUMBER(B_CKDATA)*B_PM*B_INTYPE,B_CKDATA)/SUMPRODUCT((B_CKDATE&gt;=AA$10)*(B_CKDATE&lt;AA$10+7)*ISNUMBER(B_CKDATA)*B_PM*B_INTYPE),""),"")</f>
        <v/>
      </c>
      <c r="AB21" s="302" t="str">
        <f>IF(ISNUMBER(AB$10),IFERROR(SUMPRODUCT((B_CKDATE&gt;=AB$10)*(B_CKDATE&lt;AB$10+7)*ISNUMBER(B_CKDATA)*B_PM*B_INTYPE,B_CKDATA)/SUMPRODUCT((B_CKDATE&gt;=AB$10)*(B_CKDATE&lt;AB$10+7)*ISNUMBER(B_CKDATA)*B_PM*B_INTYPE),""),"")</f>
        <v/>
      </c>
      <c r="AC21" s="302" t="str">
        <f>IF(ISNUMBER(AC$10),IFERROR(SUMPRODUCT((B_CKDATE&gt;=AC$10)*(B_CKDATE&lt;AC$10+7)*ISNUMBER(B_CKDATA)*B_PM*B_INTYPE,B_CKDATA)/SUMPRODUCT((B_CKDATE&gt;=AC$10)*(B_CKDATE&lt;AC$10+7)*ISNUMBER(B_CKDATA)*B_PM*B_INTYPE),""),"")</f>
        <v/>
      </c>
      <c r="AD21" s="302" t="str">
        <f>IF(ISNUMBER(AD$10),IFERROR(SUMPRODUCT((B_CKDATE&gt;=AD$10)*(B_CKDATE&lt;AD$10+7)*ISNUMBER(B_CKDATA)*B_PM*B_INTYPE,B_CKDATA)/SUMPRODUCT((B_CKDATE&gt;=AD$10)*(B_CKDATE&lt;AD$10+7)*ISNUMBER(B_CKDATA)*B_PM*B_INTYPE),""),"")</f>
        <v/>
      </c>
      <c r="AE21" s="302" t="str">
        <f>IF(ISNUMBER(AE$10),IFERROR(SUMPRODUCT((B_CKDATE&gt;=AE$10)*(B_CKDATE&lt;AE$10+7)*ISNUMBER(B_CKDATA)*B_PM*B_INTYPE,B_CKDATA)/SUMPRODUCT((B_CKDATE&gt;=AE$10)*(B_CKDATE&lt;AE$10+7)*ISNUMBER(B_CKDATA)*B_PM*B_INTYPE),""),"")</f>
        <v/>
      </c>
      <c r="AF21" s="302" t="str">
        <f>IF(ISNUMBER(AF$10),IFERROR(SUMPRODUCT((B_CKDATE&gt;=AF$10)*(B_CKDATE&lt;AF$10+7)*ISNUMBER(B_CKDATA)*B_PM*B_INTYPE,B_CKDATA)/SUMPRODUCT((B_CKDATE&gt;=AF$10)*(B_CKDATE&lt;AF$10+7)*ISNUMBER(B_CKDATA)*B_PM*B_INTYPE),""),"")</f>
        <v/>
      </c>
      <c r="AG21" s="302" t="str">
        <f>IF(ISNUMBER(AG$10),IFERROR(SUMPRODUCT((B_CKDATE&gt;=AG$10)*(B_CKDATE&lt;AG$10+7)*ISNUMBER(B_CKDATA)*B_PM*B_INTYPE,B_CKDATA)/SUMPRODUCT((B_CKDATE&gt;=AG$10)*(B_CKDATE&lt;AG$10+7)*ISNUMBER(B_CKDATA)*B_PM*B_INTYPE),""),"")</f>
        <v/>
      </c>
      <c r="AH21" s="302" t="str">
        <f>IF(ISNUMBER(AH$10),IFERROR(SUMPRODUCT((B_CKDATE&gt;=AH$10)*(B_CKDATE&lt;AH$10+7)*ISNUMBER(B_CKDATA)*B_PM*B_INTYPE,B_CKDATA)/SUMPRODUCT((B_CKDATE&gt;=AH$10)*(B_CKDATE&lt;AH$10+7)*ISNUMBER(B_CKDATA)*B_PM*B_INTYPE),""),"")</f>
        <v/>
      </c>
      <c r="AI21" s="302" t="str">
        <f>IF(ISNUMBER(AI$10),IFERROR(SUMPRODUCT((B_CKDATE&gt;=AI$10)*(B_CKDATE&lt;AI$10+7)*ISNUMBER(B_CKDATA)*B_PM*B_INTYPE,B_CKDATA)/SUMPRODUCT((B_CKDATE&gt;=AI$10)*(B_CKDATE&lt;AI$10+7)*ISNUMBER(B_CKDATA)*B_PM*B_INTYPE),""),"")</f>
        <v/>
      </c>
    </row>
    <row r="22" spans="2:38" s="187" customFormat="1" x14ac:dyDescent="0.2">
      <c r="B22" s="266"/>
      <c r="C22" s="267" t="s">
        <v>360</v>
      </c>
      <c r="D22" s="301" t="str">
        <f>Closing!D6</f>
        <v/>
      </c>
      <c r="E22" s="302" t="str">
        <f>IF(ISNUMBER(E$10),IFERROR(SUMPRODUCT((C_CKDATE&gt;=E$10)*(C_CKDATE&lt;E$10+7)*ISNUMBER(C_CKDATA)*C_PM*C_INTYPE,C_CKDATA)/SUMPRODUCT((C_CKDATE&gt;=E$10)*(C_CKDATE&lt;E$10+7)*ISNUMBER(C_CKDATA)*C_PM*C_INTYPE),""),"")</f>
        <v/>
      </c>
      <c r="F22" s="302" t="str">
        <f>IF(ISNUMBER(F$10),IFERROR(SUMPRODUCT((C_CKDATE&gt;=F$10)*(C_CKDATE&lt;F$10+7)*ISNUMBER(C_CKDATA)*C_PM*C_INTYPE,C_CKDATA)/SUMPRODUCT((C_CKDATE&gt;=F$10)*(C_CKDATE&lt;F$10+7)*ISNUMBER(C_CKDATA)*C_PM*C_INTYPE),""),"")</f>
        <v/>
      </c>
      <c r="G22" s="302" t="str">
        <f>IF(ISNUMBER(G$10),IFERROR(SUMPRODUCT((C_CKDATE&gt;=G$10)*(C_CKDATE&lt;G$10+7)*ISNUMBER(C_CKDATA)*C_PM*C_INTYPE,C_CKDATA)/SUMPRODUCT((C_CKDATE&gt;=G$10)*(C_CKDATE&lt;G$10+7)*ISNUMBER(C_CKDATA)*C_PM*C_INTYPE),""),"")</f>
        <v/>
      </c>
      <c r="H22" s="302" t="str">
        <f>IF(ISNUMBER(H$10),IFERROR(SUMPRODUCT((C_CKDATE&gt;=H$10)*(C_CKDATE&lt;H$10+7)*ISNUMBER(C_CKDATA)*C_PM*C_INTYPE,C_CKDATA)/SUMPRODUCT((C_CKDATE&gt;=H$10)*(C_CKDATE&lt;H$10+7)*ISNUMBER(C_CKDATA)*C_PM*C_INTYPE),""),"")</f>
        <v/>
      </c>
      <c r="I22" s="302" t="str">
        <f>IF(ISNUMBER(I$10),IFERROR(SUMPRODUCT((C_CKDATE&gt;=I$10)*(C_CKDATE&lt;I$10+7)*ISNUMBER(C_CKDATA)*C_PM*C_INTYPE,C_CKDATA)/SUMPRODUCT((C_CKDATE&gt;=I$10)*(C_CKDATE&lt;I$10+7)*ISNUMBER(C_CKDATA)*C_PM*C_INTYPE),""),"")</f>
        <v/>
      </c>
      <c r="J22" s="302" t="str">
        <f>IF(ISNUMBER(J$10),IFERROR(SUMPRODUCT((C_CKDATE&gt;=J$10)*(C_CKDATE&lt;J$10+7)*ISNUMBER(C_CKDATA)*C_PM*C_INTYPE,C_CKDATA)/SUMPRODUCT((C_CKDATE&gt;=J$10)*(C_CKDATE&lt;J$10+7)*ISNUMBER(C_CKDATA)*C_PM*C_INTYPE),""),"")</f>
        <v/>
      </c>
      <c r="K22" s="302" t="str">
        <f>IF(ISNUMBER(K$10),IFERROR(SUMPRODUCT((C_CKDATE&gt;=K$10)*(C_CKDATE&lt;K$10+7)*ISNUMBER(C_CKDATA)*C_PM*C_INTYPE,C_CKDATA)/SUMPRODUCT((C_CKDATE&gt;=K$10)*(C_CKDATE&lt;K$10+7)*ISNUMBER(C_CKDATA)*C_PM*C_INTYPE),""),"")</f>
        <v/>
      </c>
      <c r="L22" s="302" t="str">
        <f>IF(ISNUMBER(L$10),IFERROR(SUMPRODUCT((C_CKDATE&gt;=L$10)*(C_CKDATE&lt;L$10+7)*ISNUMBER(C_CKDATA)*C_PM*C_INTYPE,C_CKDATA)/SUMPRODUCT((C_CKDATE&gt;=L$10)*(C_CKDATE&lt;L$10+7)*ISNUMBER(C_CKDATA)*C_PM*C_INTYPE),""),"")</f>
        <v/>
      </c>
      <c r="M22" s="302" t="str">
        <f>IF(ISNUMBER(M$10),IFERROR(SUMPRODUCT((C_CKDATE&gt;=M$10)*(C_CKDATE&lt;M$10+7)*ISNUMBER(C_CKDATA)*C_PM*C_INTYPE,C_CKDATA)/SUMPRODUCT((C_CKDATE&gt;=M$10)*(C_CKDATE&lt;M$10+7)*ISNUMBER(C_CKDATA)*C_PM*C_INTYPE),""),"")</f>
        <v/>
      </c>
      <c r="N22" s="302" t="str">
        <f>IF(ISNUMBER(N$10),IFERROR(SUMPRODUCT((C_CKDATE&gt;=N$10)*(C_CKDATE&lt;N$10+7)*ISNUMBER(C_CKDATA)*C_PM*C_INTYPE,C_CKDATA)/SUMPRODUCT((C_CKDATE&gt;=N$10)*(C_CKDATE&lt;N$10+7)*ISNUMBER(C_CKDATA)*C_PM*C_INTYPE),""),"")</f>
        <v/>
      </c>
      <c r="O22" s="302" t="str">
        <f>IF(ISNUMBER(O$10),IFERROR(SUMPRODUCT((C_CKDATE&gt;=O$10)*(C_CKDATE&lt;O$10+7)*ISNUMBER(C_CKDATA)*C_PM*C_INTYPE,C_CKDATA)/SUMPRODUCT((C_CKDATE&gt;=O$10)*(C_CKDATE&lt;O$10+7)*ISNUMBER(C_CKDATA)*C_PM*C_INTYPE),""),"")</f>
        <v/>
      </c>
      <c r="P22" s="302" t="str">
        <f>IF(ISNUMBER(P$10),IFERROR(SUMPRODUCT((C_CKDATE&gt;=P$10)*(C_CKDATE&lt;P$10+7)*ISNUMBER(C_CKDATA)*C_PM*C_INTYPE,C_CKDATA)/SUMPRODUCT((C_CKDATE&gt;=P$10)*(C_CKDATE&lt;P$10+7)*ISNUMBER(C_CKDATA)*C_PM*C_INTYPE),""),"")</f>
        <v/>
      </c>
      <c r="Q22" s="302" t="str">
        <f>IF(ISNUMBER(Q$10),IFERROR(SUMPRODUCT((C_CKDATE&gt;=Q$10)*(C_CKDATE&lt;Q$10+7)*ISNUMBER(C_CKDATA)*C_PM*C_INTYPE,C_CKDATA)/SUMPRODUCT((C_CKDATE&gt;=Q$10)*(C_CKDATE&lt;Q$10+7)*ISNUMBER(C_CKDATA)*C_PM*C_INTYPE),""),"")</f>
        <v/>
      </c>
      <c r="R22" s="302" t="str">
        <f>IF(ISNUMBER(R$10),IFERROR(SUMPRODUCT((C_CKDATE&gt;=R$10)*(C_CKDATE&lt;R$10+7)*ISNUMBER(C_CKDATA)*C_PM*C_INTYPE,C_CKDATA)/SUMPRODUCT((C_CKDATE&gt;=R$10)*(C_CKDATE&lt;R$10+7)*ISNUMBER(C_CKDATA)*C_PM*C_INTYPE),""),"")</f>
        <v/>
      </c>
      <c r="S22" s="302" t="str">
        <f>IF(ISNUMBER(S$10),IFERROR(SUMPRODUCT((C_CKDATE&gt;=S$10)*(C_CKDATE&lt;S$10+7)*ISNUMBER(C_CKDATA)*C_PM*C_INTYPE,C_CKDATA)/SUMPRODUCT((C_CKDATE&gt;=S$10)*(C_CKDATE&lt;S$10+7)*ISNUMBER(C_CKDATA)*C_PM*C_INTYPE),""),"")</f>
        <v/>
      </c>
      <c r="T22" s="302" t="str">
        <f>IF(ISNUMBER(T$10),IFERROR(SUMPRODUCT((C_CKDATE&gt;=T$10)*(C_CKDATE&lt;T$10+7)*ISNUMBER(C_CKDATA)*C_PM*C_INTYPE,C_CKDATA)/SUMPRODUCT((C_CKDATE&gt;=T$10)*(C_CKDATE&lt;T$10+7)*ISNUMBER(C_CKDATA)*C_PM*C_INTYPE),""),"")</f>
        <v/>
      </c>
      <c r="U22" s="302" t="str">
        <f>IF(ISNUMBER(U$10),IFERROR(SUMPRODUCT((C_CKDATE&gt;=U$10)*(C_CKDATE&lt;U$10+7)*ISNUMBER(C_CKDATA)*C_PM*C_INTYPE,C_CKDATA)/SUMPRODUCT((C_CKDATE&gt;=U$10)*(C_CKDATE&lt;U$10+7)*ISNUMBER(C_CKDATA)*C_PM*C_INTYPE),""),"")</f>
        <v/>
      </c>
      <c r="V22" s="302" t="str">
        <f>IF(ISNUMBER(V$10),IFERROR(SUMPRODUCT((C_CKDATE&gt;=V$10)*(C_CKDATE&lt;V$10+7)*ISNUMBER(C_CKDATA)*C_PM*C_INTYPE,C_CKDATA)/SUMPRODUCT((C_CKDATE&gt;=V$10)*(C_CKDATE&lt;V$10+7)*ISNUMBER(C_CKDATA)*C_PM*C_INTYPE),""),"")</f>
        <v/>
      </c>
      <c r="W22" s="302" t="str">
        <f>IF(ISNUMBER(W$10),IFERROR(SUMPRODUCT((C_CKDATE&gt;=W$10)*(C_CKDATE&lt;W$10+7)*ISNUMBER(C_CKDATA)*C_PM*C_INTYPE,C_CKDATA)/SUMPRODUCT((C_CKDATE&gt;=W$10)*(C_CKDATE&lt;W$10+7)*ISNUMBER(C_CKDATA)*C_PM*C_INTYPE),""),"")</f>
        <v/>
      </c>
      <c r="X22" s="302" t="str">
        <f>IF(ISNUMBER(X$10),IFERROR(SUMPRODUCT((C_CKDATE&gt;=X$10)*(C_CKDATE&lt;X$10+7)*ISNUMBER(C_CKDATA)*C_PM*C_INTYPE,C_CKDATA)/SUMPRODUCT((C_CKDATE&gt;=X$10)*(C_CKDATE&lt;X$10+7)*ISNUMBER(C_CKDATA)*C_PM*C_INTYPE),""),"")</f>
        <v/>
      </c>
      <c r="Y22" s="302" t="str">
        <f>IF(ISNUMBER(Y$10),IFERROR(SUMPRODUCT((C_CKDATE&gt;=Y$10)*(C_CKDATE&lt;Y$10+7)*ISNUMBER(C_CKDATA)*C_PM*C_INTYPE,C_CKDATA)/SUMPRODUCT((C_CKDATE&gt;=Y$10)*(C_CKDATE&lt;Y$10+7)*ISNUMBER(C_CKDATA)*C_PM*C_INTYPE),""),"")</f>
        <v/>
      </c>
      <c r="Z22" s="302" t="str">
        <f>IF(ISNUMBER(Z$10),IFERROR(SUMPRODUCT((C_CKDATE&gt;=Z$10)*(C_CKDATE&lt;Z$10+7)*ISNUMBER(C_CKDATA)*C_PM*C_INTYPE,C_CKDATA)/SUMPRODUCT((C_CKDATE&gt;=Z$10)*(C_CKDATE&lt;Z$10+7)*ISNUMBER(C_CKDATA)*C_PM*C_INTYPE),""),"")</f>
        <v/>
      </c>
      <c r="AA22" s="302" t="str">
        <f>IF(ISNUMBER(AA$10),IFERROR(SUMPRODUCT((C_CKDATE&gt;=AA$10)*(C_CKDATE&lt;AA$10+7)*ISNUMBER(C_CKDATA)*C_PM*C_INTYPE,C_CKDATA)/SUMPRODUCT((C_CKDATE&gt;=AA$10)*(C_CKDATE&lt;AA$10+7)*ISNUMBER(C_CKDATA)*C_PM*C_INTYPE),""),"")</f>
        <v/>
      </c>
      <c r="AB22" s="302" t="str">
        <f>IF(ISNUMBER(AB$10),IFERROR(SUMPRODUCT((C_CKDATE&gt;=AB$10)*(C_CKDATE&lt;AB$10+7)*ISNUMBER(C_CKDATA)*C_PM*C_INTYPE,C_CKDATA)/SUMPRODUCT((C_CKDATE&gt;=AB$10)*(C_CKDATE&lt;AB$10+7)*ISNUMBER(C_CKDATA)*C_PM*C_INTYPE),""),"")</f>
        <v/>
      </c>
      <c r="AC22" s="302" t="str">
        <f>IF(ISNUMBER(AC$10),IFERROR(SUMPRODUCT((C_CKDATE&gt;=AC$10)*(C_CKDATE&lt;AC$10+7)*ISNUMBER(C_CKDATA)*C_PM*C_INTYPE,C_CKDATA)/SUMPRODUCT((C_CKDATE&gt;=AC$10)*(C_CKDATE&lt;AC$10+7)*ISNUMBER(C_CKDATA)*C_PM*C_INTYPE),""),"")</f>
        <v/>
      </c>
      <c r="AD22" s="302" t="str">
        <f>IF(ISNUMBER(AD$10),IFERROR(SUMPRODUCT((C_CKDATE&gt;=AD$10)*(C_CKDATE&lt;AD$10+7)*ISNUMBER(C_CKDATA)*C_PM*C_INTYPE,C_CKDATA)/SUMPRODUCT((C_CKDATE&gt;=AD$10)*(C_CKDATE&lt;AD$10+7)*ISNUMBER(C_CKDATA)*C_PM*C_INTYPE),""),"")</f>
        <v/>
      </c>
      <c r="AE22" s="302" t="str">
        <f>IF(ISNUMBER(AE$10),IFERROR(SUMPRODUCT((C_CKDATE&gt;=AE$10)*(C_CKDATE&lt;AE$10+7)*ISNUMBER(C_CKDATA)*C_PM*C_INTYPE,C_CKDATA)/SUMPRODUCT((C_CKDATE&gt;=AE$10)*(C_CKDATE&lt;AE$10+7)*ISNUMBER(C_CKDATA)*C_PM*C_INTYPE),""),"")</f>
        <v/>
      </c>
      <c r="AF22" s="302" t="str">
        <f>IF(ISNUMBER(AF$10),IFERROR(SUMPRODUCT((C_CKDATE&gt;=AF$10)*(C_CKDATE&lt;AF$10+7)*ISNUMBER(C_CKDATA)*C_PM*C_INTYPE,C_CKDATA)/SUMPRODUCT((C_CKDATE&gt;=AF$10)*(C_CKDATE&lt;AF$10+7)*ISNUMBER(C_CKDATA)*C_PM*C_INTYPE),""),"")</f>
        <v/>
      </c>
      <c r="AG22" s="302" t="str">
        <f>IF(ISNUMBER(AG$10),IFERROR(SUMPRODUCT((C_CKDATE&gt;=AG$10)*(C_CKDATE&lt;AG$10+7)*ISNUMBER(C_CKDATA)*C_PM*C_INTYPE,C_CKDATA)/SUMPRODUCT((C_CKDATE&gt;=AG$10)*(C_CKDATE&lt;AG$10+7)*ISNUMBER(C_CKDATA)*C_PM*C_INTYPE),""),"")</f>
        <v/>
      </c>
      <c r="AH22" s="302" t="str">
        <f>IF(ISNUMBER(AH$10),IFERROR(SUMPRODUCT((C_CKDATE&gt;=AH$10)*(C_CKDATE&lt;AH$10+7)*ISNUMBER(C_CKDATA)*C_PM*C_INTYPE,C_CKDATA)/SUMPRODUCT((C_CKDATE&gt;=AH$10)*(C_CKDATE&lt;AH$10+7)*ISNUMBER(C_CKDATA)*C_PM*C_INTYPE),""),"")</f>
        <v/>
      </c>
      <c r="AI22" s="302" t="str">
        <f>IF(ISNUMBER(AI$10),IFERROR(SUMPRODUCT((C_CKDATE&gt;=AI$10)*(C_CKDATE&lt;AI$10+7)*ISNUMBER(C_CKDATA)*C_PM*C_INTYPE,C_CKDATA)/SUMPRODUCT((C_CKDATE&gt;=AI$10)*(C_CKDATE&lt;AI$10+7)*ISNUMBER(C_CKDATA)*C_PM*C_INTYPE),""),"")</f>
        <v/>
      </c>
    </row>
    <row r="23" spans="2:38" x14ac:dyDescent="0.2">
      <c r="B23" s="475" t="s">
        <v>433</v>
      </c>
      <c r="C23" s="475"/>
      <c r="D23" s="301" t="str">
        <f>IFERROR((SUMPRODUCT(ISNUMBER(P_CKDATE)*ISNUMBER(P_CKDATA)*P_SM*P_INTYPE,P_CKDATA)+SUMPRODUCT(ISNUMBER(M_CKDATE)*ISNUMBER(M_CKDATA)*M_SM*M_INTYPE,M_CKDATA)+SUMPRODUCT(ISNUMBER(W_CKDATE)*ISNUMBER(W_CKDATA)*W_SM*W_INTYPE,W_CKDATA)+SUMPRODUCT(ISNUMBER(B_CKDATE)*ISNUMBER(B_CKDATA)*B_SM*B_INTYPE,B_CKDATA)+SUMPRODUCT(ISNUMBER(C_CKDATE)*ISNUMBER(C_CKDATA)*C_SM*C_INTYPE,C_CKDATA))/(SUMPRODUCT(ISNUMBER(P_CKDATE)*ISNUMBER(P_CKDATA)*P_SM*P_INTYPE)+SUMPRODUCT(ISNUMBER(M_CKDATE)*ISNUMBER(M_CKDATA)*M_SM*M_INTYPE)+SUMPRODUCT(ISNUMBER(W_CKDATE)*ISNUMBER(W_CKDATA)*W_SM*W_INTYPE)+SUMPRODUCT(ISNUMBER(B_CKDATE)*ISNUMBER(B_CKDATA)*B_SM*B_INTYPE)+SUMPRODUCT(ISNUMBER(C_CKDATE)*ISNUMBER(C_CKDATA)*C_SM*C_INTYPE)),"")</f>
        <v/>
      </c>
      <c r="E23" s="301" t="str">
        <f>IF(ISNUMBER(E$10),IFERROR((SUMPRODUCT((P_CKDATE&gt;=E$10)*(P_CKDATE&lt;E$10+7)*ISNUMBER(P_CKDATA)*P_SM*P_INTYPE,P_CKDATA)+SUMPRODUCT((M_CKDATE&gt;=E$10)*(M_CKDATE&lt;E$10+7)*ISNUMBER(M_CKDATA)*M_SM*M_INTYPE,M_CKDATA)+SUMPRODUCT((W_CKDATE&gt;=E$10)*(W_CKDATE&lt;E$10+7)*ISNUMBER(W_CKDATA)*W_SM*W_INTYPE,W_CKDATA)+SUMPRODUCT((B_CKDATE&gt;=E$10)*(B_CKDATE&lt;E$10+7)*ISNUMBER(B_CKDATA)*B_SM*B_INTYPE,B_CKDATA)+SUMPRODUCT((C_CKDATE&gt;=E$10)*(C_CKDATE&lt;E$10+7)*ISNUMBER(C_CKDATA)*C_SM*C_INTYPE,C_CKDATA))/(SUMPRODUCT((P_CKDATE&gt;=E$10)*(P_CKDATE&lt;E$10+7)*ISNUMBER(P_CKDATA)*P_SM*P_INTYPE)+SUMPRODUCT((M_CKDATE&gt;=E$10)*(M_CKDATE&lt;E$10+7)*ISNUMBER(M_CKDATA)*M_SM*M_INTYPE)+SUMPRODUCT((W_CKDATE&gt;=E$10)*(W_CKDATE&lt;E$10+7)*ISNUMBER(W_CKDATA)*W_SM*W_INTYPE)+SUMPRODUCT((B_CKDATE&gt;=E$10)*(B_CKDATE&lt;E$10+7)*ISNUMBER(B_CKDATA)*B_SM*B_INTYPE)+SUMPRODUCT((C_CKDATE&gt;=E$10)*(C_CKDATE&lt;E$10+7)*ISNUMBER(C_CKDATA)*C_SM*C_INTYPE)),""),"")</f>
        <v/>
      </c>
      <c r="F23" s="301" t="str">
        <f>IF(ISNUMBER(F$10),IFERROR((SUMPRODUCT((P_CKDATE&gt;=F$10)*(P_CKDATE&lt;F$10+7)*ISNUMBER(P_CKDATA)*P_SM*P_INTYPE,P_CKDATA)+SUMPRODUCT((M_CKDATE&gt;=F$10)*(M_CKDATE&lt;F$10+7)*ISNUMBER(M_CKDATA)*M_SM*M_INTYPE,M_CKDATA)+SUMPRODUCT((W_CKDATE&gt;=F$10)*(W_CKDATE&lt;F$10+7)*ISNUMBER(W_CKDATA)*W_SM*W_INTYPE,W_CKDATA)+SUMPRODUCT((B_CKDATE&gt;=F$10)*(B_CKDATE&lt;F$10+7)*ISNUMBER(B_CKDATA)*B_SM*B_INTYPE,B_CKDATA)+SUMPRODUCT((C_CKDATE&gt;=F$10)*(C_CKDATE&lt;F$10+7)*ISNUMBER(C_CKDATA)*C_SM*C_INTYPE,C_CKDATA))/(SUMPRODUCT((P_CKDATE&gt;=F$10)*(P_CKDATE&lt;F$10+7)*ISNUMBER(P_CKDATA)*P_SM*P_INTYPE)+SUMPRODUCT((M_CKDATE&gt;=F$10)*(M_CKDATE&lt;F$10+7)*ISNUMBER(M_CKDATA)*M_SM*M_INTYPE)+SUMPRODUCT((W_CKDATE&gt;=F$10)*(W_CKDATE&lt;F$10+7)*ISNUMBER(W_CKDATA)*W_SM*W_INTYPE)+SUMPRODUCT((B_CKDATE&gt;=F$10)*(B_CKDATE&lt;F$10+7)*ISNUMBER(B_CKDATA)*B_SM*B_INTYPE)+SUMPRODUCT((C_CKDATE&gt;=F$10)*(C_CKDATE&lt;F$10+7)*ISNUMBER(C_CKDATA)*C_SM*C_INTYPE)),""),"")</f>
        <v/>
      </c>
      <c r="G23" s="301" t="str">
        <f>IF(ISNUMBER(G$10),IFERROR((SUMPRODUCT((P_CKDATE&gt;=G$10)*(P_CKDATE&lt;G$10+7)*ISNUMBER(P_CKDATA)*P_SM*P_INTYPE,P_CKDATA)+SUMPRODUCT((M_CKDATE&gt;=G$10)*(M_CKDATE&lt;G$10+7)*ISNUMBER(M_CKDATA)*M_SM*M_INTYPE,M_CKDATA)+SUMPRODUCT((W_CKDATE&gt;=G$10)*(W_CKDATE&lt;G$10+7)*ISNUMBER(W_CKDATA)*W_SM*W_INTYPE,W_CKDATA)+SUMPRODUCT((B_CKDATE&gt;=G$10)*(B_CKDATE&lt;G$10+7)*ISNUMBER(B_CKDATA)*B_SM*B_INTYPE,B_CKDATA)+SUMPRODUCT((C_CKDATE&gt;=G$10)*(C_CKDATE&lt;G$10+7)*ISNUMBER(C_CKDATA)*C_SM*C_INTYPE,C_CKDATA))/(SUMPRODUCT((P_CKDATE&gt;=G$10)*(P_CKDATE&lt;G$10+7)*ISNUMBER(P_CKDATA)*P_SM*P_INTYPE)+SUMPRODUCT((M_CKDATE&gt;=G$10)*(M_CKDATE&lt;G$10+7)*ISNUMBER(M_CKDATA)*M_SM*M_INTYPE)+SUMPRODUCT((W_CKDATE&gt;=G$10)*(W_CKDATE&lt;G$10+7)*ISNUMBER(W_CKDATA)*W_SM*W_INTYPE)+SUMPRODUCT((B_CKDATE&gt;=G$10)*(B_CKDATE&lt;G$10+7)*ISNUMBER(B_CKDATA)*B_SM*B_INTYPE)+SUMPRODUCT((C_CKDATE&gt;=G$10)*(C_CKDATE&lt;G$10+7)*ISNUMBER(C_CKDATA)*C_SM*C_INTYPE)),""),"")</f>
        <v/>
      </c>
      <c r="H23" s="301" t="str">
        <f>IF(ISNUMBER(H$10),IFERROR((SUMPRODUCT((P_CKDATE&gt;=H$10)*(P_CKDATE&lt;H$10+7)*ISNUMBER(P_CKDATA)*P_SM*P_INTYPE,P_CKDATA)+SUMPRODUCT((M_CKDATE&gt;=H$10)*(M_CKDATE&lt;H$10+7)*ISNUMBER(M_CKDATA)*M_SM*M_INTYPE,M_CKDATA)+SUMPRODUCT((W_CKDATE&gt;=H$10)*(W_CKDATE&lt;H$10+7)*ISNUMBER(W_CKDATA)*W_SM*W_INTYPE,W_CKDATA)+SUMPRODUCT((B_CKDATE&gt;=H$10)*(B_CKDATE&lt;H$10+7)*ISNUMBER(B_CKDATA)*B_SM*B_INTYPE,B_CKDATA)+SUMPRODUCT((C_CKDATE&gt;=H$10)*(C_CKDATE&lt;H$10+7)*ISNUMBER(C_CKDATA)*C_SM*C_INTYPE,C_CKDATA))/(SUMPRODUCT((P_CKDATE&gt;=H$10)*(P_CKDATE&lt;H$10+7)*ISNUMBER(P_CKDATA)*P_SM*P_INTYPE)+SUMPRODUCT((M_CKDATE&gt;=H$10)*(M_CKDATE&lt;H$10+7)*ISNUMBER(M_CKDATA)*M_SM*M_INTYPE)+SUMPRODUCT((W_CKDATE&gt;=H$10)*(W_CKDATE&lt;H$10+7)*ISNUMBER(W_CKDATA)*W_SM*W_INTYPE)+SUMPRODUCT((B_CKDATE&gt;=H$10)*(B_CKDATE&lt;H$10+7)*ISNUMBER(B_CKDATA)*B_SM*B_INTYPE)+SUMPRODUCT((C_CKDATE&gt;=H$10)*(C_CKDATE&lt;H$10+7)*ISNUMBER(C_CKDATA)*C_SM*C_INTYPE)),""),"")</f>
        <v/>
      </c>
      <c r="I23" s="301" t="str">
        <f>IF(ISNUMBER(I$10),IFERROR((SUMPRODUCT((P_CKDATE&gt;=I$10)*(P_CKDATE&lt;I$10+7)*ISNUMBER(P_CKDATA)*P_SM*P_INTYPE,P_CKDATA)+SUMPRODUCT((M_CKDATE&gt;=I$10)*(M_CKDATE&lt;I$10+7)*ISNUMBER(M_CKDATA)*M_SM*M_INTYPE,M_CKDATA)+SUMPRODUCT((W_CKDATE&gt;=I$10)*(W_CKDATE&lt;I$10+7)*ISNUMBER(W_CKDATA)*W_SM*W_INTYPE,W_CKDATA)+SUMPRODUCT((B_CKDATE&gt;=I$10)*(B_CKDATE&lt;I$10+7)*ISNUMBER(B_CKDATA)*B_SM*B_INTYPE,B_CKDATA)+SUMPRODUCT((C_CKDATE&gt;=I$10)*(C_CKDATE&lt;I$10+7)*ISNUMBER(C_CKDATA)*C_SM*C_INTYPE,C_CKDATA))/(SUMPRODUCT((P_CKDATE&gt;=I$10)*(P_CKDATE&lt;I$10+7)*ISNUMBER(P_CKDATA)*P_SM*P_INTYPE)+SUMPRODUCT((M_CKDATE&gt;=I$10)*(M_CKDATE&lt;I$10+7)*ISNUMBER(M_CKDATA)*M_SM*M_INTYPE)+SUMPRODUCT((W_CKDATE&gt;=I$10)*(W_CKDATE&lt;I$10+7)*ISNUMBER(W_CKDATA)*W_SM*W_INTYPE)+SUMPRODUCT((B_CKDATE&gt;=I$10)*(B_CKDATE&lt;I$10+7)*ISNUMBER(B_CKDATA)*B_SM*B_INTYPE)+SUMPRODUCT((C_CKDATE&gt;=I$10)*(C_CKDATE&lt;I$10+7)*ISNUMBER(C_CKDATA)*C_SM*C_INTYPE)),""),"")</f>
        <v/>
      </c>
      <c r="J23" s="301" t="str">
        <f>IF(ISNUMBER(J$10),IFERROR((SUMPRODUCT((P_CKDATE&gt;=J$10)*(P_CKDATE&lt;J$10+7)*ISNUMBER(P_CKDATA)*P_SM*P_INTYPE,P_CKDATA)+SUMPRODUCT((M_CKDATE&gt;=J$10)*(M_CKDATE&lt;J$10+7)*ISNUMBER(M_CKDATA)*M_SM*M_INTYPE,M_CKDATA)+SUMPRODUCT((W_CKDATE&gt;=J$10)*(W_CKDATE&lt;J$10+7)*ISNUMBER(W_CKDATA)*W_SM*W_INTYPE,W_CKDATA)+SUMPRODUCT((B_CKDATE&gt;=J$10)*(B_CKDATE&lt;J$10+7)*ISNUMBER(B_CKDATA)*B_SM*B_INTYPE,B_CKDATA)+SUMPRODUCT((C_CKDATE&gt;=J$10)*(C_CKDATE&lt;J$10+7)*ISNUMBER(C_CKDATA)*C_SM*C_INTYPE,C_CKDATA))/(SUMPRODUCT((P_CKDATE&gt;=J$10)*(P_CKDATE&lt;J$10+7)*ISNUMBER(P_CKDATA)*P_SM*P_INTYPE)+SUMPRODUCT((M_CKDATE&gt;=J$10)*(M_CKDATE&lt;J$10+7)*ISNUMBER(M_CKDATA)*M_SM*M_INTYPE)+SUMPRODUCT((W_CKDATE&gt;=J$10)*(W_CKDATE&lt;J$10+7)*ISNUMBER(W_CKDATA)*W_SM*W_INTYPE)+SUMPRODUCT((B_CKDATE&gt;=J$10)*(B_CKDATE&lt;J$10+7)*ISNUMBER(B_CKDATA)*B_SM*B_INTYPE)+SUMPRODUCT((C_CKDATE&gt;=J$10)*(C_CKDATE&lt;J$10+7)*ISNUMBER(C_CKDATA)*C_SM*C_INTYPE)),""),"")</f>
        <v/>
      </c>
      <c r="K23" s="301" t="str">
        <f>IF(ISNUMBER(K$10),IFERROR((SUMPRODUCT((P_CKDATE&gt;=K$10)*(P_CKDATE&lt;K$10+7)*ISNUMBER(P_CKDATA)*P_SM*P_INTYPE,P_CKDATA)+SUMPRODUCT((M_CKDATE&gt;=K$10)*(M_CKDATE&lt;K$10+7)*ISNUMBER(M_CKDATA)*M_SM*M_INTYPE,M_CKDATA)+SUMPRODUCT((W_CKDATE&gt;=K$10)*(W_CKDATE&lt;K$10+7)*ISNUMBER(W_CKDATA)*W_SM*W_INTYPE,W_CKDATA)+SUMPRODUCT((B_CKDATE&gt;=K$10)*(B_CKDATE&lt;K$10+7)*ISNUMBER(B_CKDATA)*B_SM*B_INTYPE,B_CKDATA)+SUMPRODUCT((C_CKDATE&gt;=K$10)*(C_CKDATE&lt;K$10+7)*ISNUMBER(C_CKDATA)*C_SM*C_INTYPE,C_CKDATA))/(SUMPRODUCT((P_CKDATE&gt;=K$10)*(P_CKDATE&lt;K$10+7)*ISNUMBER(P_CKDATA)*P_SM*P_INTYPE)+SUMPRODUCT((M_CKDATE&gt;=K$10)*(M_CKDATE&lt;K$10+7)*ISNUMBER(M_CKDATA)*M_SM*M_INTYPE)+SUMPRODUCT((W_CKDATE&gt;=K$10)*(W_CKDATE&lt;K$10+7)*ISNUMBER(W_CKDATA)*W_SM*W_INTYPE)+SUMPRODUCT((B_CKDATE&gt;=K$10)*(B_CKDATE&lt;K$10+7)*ISNUMBER(B_CKDATA)*B_SM*B_INTYPE)+SUMPRODUCT((C_CKDATE&gt;=K$10)*(C_CKDATE&lt;K$10+7)*ISNUMBER(C_CKDATA)*C_SM*C_INTYPE)),""),"")</f>
        <v/>
      </c>
      <c r="L23" s="301" t="str">
        <f>IF(ISNUMBER(L$10),IFERROR((SUMPRODUCT((P_CKDATE&gt;=L$10)*(P_CKDATE&lt;L$10+7)*ISNUMBER(P_CKDATA)*P_SM*P_INTYPE,P_CKDATA)+SUMPRODUCT((M_CKDATE&gt;=L$10)*(M_CKDATE&lt;L$10+7)*ISNUMBER(M_CKDATA)*M_SM*M_INTYPE,M_CKDATA)+SUMPRODUCT((W_CKDATE&gt;=L$10)*(W_CKDATE&lt;L$10+7)*ISNUMBER(W_CKDATA)*W_SM*W_INTYPE,W_CKDATA)+SUMPRODUCT((B_CKDATE&gt;=L$10)*(B_CKDATE&lt;L$10+7)*ISNUMBER(B_CKDATA)*B_SM*B_INTYPE,B_CKDATA)+SUMPRODUCT((C_CKDATE&gt;=L$10)*(C_CKDATE&lt;L$10+7)*ISNUMBER(C_CKDATA)*C_SM*C_INTYPE,C_CKDATA))/(SUMPRODUCT((P_CKDATE&gt;=L$10)*(P_CKDATE&lt;L$10+7)*ISNUMBER(P_CKDATA)*P_SM*P_INTYPE)+SUMPRODUCT((M_CKDATE&gt;=L$10)*(M_CKDATE&lt;L$10+7)*ISNUMBER(M_CKDATA)*M_SM*M_INTYPE)+SUMPRODUCT((W_CKDATE&gt;=L$10)*(W_CKDATE&lt;L$10+7)*ISNUMBER(W_CKDATA)*W_SM*W_INTYPE)+SUMPRODUCT((B_CKDATE&gt;=L$10)*(B_CKDATE&lt;L$10+7)*ISNUMBER(B_CKDATA)*B_SM*B_INTYPE)+SUMPRODUCT((C_CKDATE&gt;=L$10)*(C_CKDATE&lt;L$10+7)*ISNUMBER(C_CKDATA)*C_SM*C_INTYPE)),""),"")</f>
        <v/>
      </c>
      <c r="M23" s="301" t="str">
        <f>IF(ISNUMBER(M$10),IFERROR((SUMPRODUCT((P_CKDATE&gt;=M$10)*(P_CKDATE&lt;M$10+7)*ISNUMBER(P_CKDATA)*P_SM*P_INTYPE,P_CKDATA)+SUMPRODUCT((M_CKDATE&gt;=M$10)*(M_CKDATE&lt;M$10+7)*ISNUMBER(M_CKDATA)*M_SM*M_INTYPE,M_CKDATA)+SUMPRODUCT((W_CKDATE&gt;=M$10)*(W_CKDATE&lt;M$10+7)*ISNUMBER(W_CKDATA)*W_SM*W_INTYPE,W_CKDATA)+SUMPRODUCT((B_CKDATE&gt;=M$10)*(B_CKDATE&lt;M$10+7)*ISNUMBER(B_CKDATA)*B_SM*B_INTYPE,B_CKDATA)+SUMPRODUCT((C_CKDATE&gt;=M$10)*(C_CKDATE&lt;M$10+7)*ISNUMBER(C_CKDATA)*C_SM*C_INTYPE,C_CKDATA))/(SUMPRODUCT((P_CKDATE&gt;=M$10)*(P_CKDATE&lt;M$10+7)*ISNUMBER(P_CKDATA)*P_SM*P_INTYPE)+SUMPRODUCT((M_CKDATE&gt;=M$10)*(M_CKDATE&lt;M$10+7)*ISNUMBER(M_CKDATA)*M_SM*M_INTYPE)+SUMPRODUCT((W_CKDATE&gt;=M$10)*(W_CKDATE&lt;M$10+7)*ISNUMBER(W_CKDATA)*W_SM*W_INTYPE)+SUMPRODUCT((B_CKDATE&gt;=M$10)*(B_CKDATE&lt;M$10+7)*ISNUMBER(B_CKDATA)*B_SM*B_INTYPE)+SUMPRODUCT((C_CKDATE&gt;=M$10)*(C_CKDATE&lt;M$10+7)*ISNUMBER(C_CKDATA)*C_SM*C_INTYPE)),""),"")</f>
        <v/>
      </c>
      <c r="N23" s="301" t="str">
        <f>IF(ISNUMBER(N$10),IFERROR((SUMPRODUCT((P_CKDATE&gt;=N$10)*(P_CKDATE&lt;N$10+7)*ISNUMBER(P_CKDATA)*P_SM*P_INTYPE,P_CKDATA)+SUMPRODUCT((M_CKDATE&gt;=N$10)*(M_CKDATE&lt;N$10+7)*ISNUMBER(M_CKDATA)*M_SM*M_INTYPE,M_CKDATA)+SUMPRODUCT((W_CKDATE&gt;=N$10)*(W_CKDATE&lt;N$10+7)*ISNUMBER(W_CKDATA)*W_SM*W_INTYPE,W_CKDATA)+SUMPRODUCT((B_CKDATE&gt;=N$10)*(B_CKDATE&lt;N$10+7)*ISNUMBER(B_CKDATA)*B_SM*B_INTYPE,B_CKDATA)+SUMPRODUCT((C_CKDATE&gt;=N$10)*(C_CKDATE&lt;N$10+7)*ISNUMBER(C_CKDATA)*C_SM*C_INTYPE,C_CKDATA))/(SUMPRODUCT((P_CKDATE&gt;=N$10)*(P_CKDATE&lt;N$10+7)*ISNUMBER(P_CKDATA)*P_SM*P_INTYPE)+SUMPRODUCT((M_CKDATE&gt;=N$10)*(M_CKDATE&lt;N$10+7)*ISNUMBER(M_CKDATA)*M_SM*M_INTYPE)+SUMPRODUCT((W_CKDATE&gt;=N$10)*(W_CKDATE&lt;N$10+7)*ISNUMBER(W_CKDATA)*W_SM*W_INTYPE)+SUMPRODUCT((B_CKDATE&gt;=N$10)*(B_CKDATE&lt;N$10+7)*ISNUMBER(B_CKDATA)*B_SM*B_INTYPE)+SUMPRODUCT((C_CKDATE&gt;=N$10)*(C_CKDATE&lt;N$10+7)*ISNUMBER(C_CKDATA)*C_SM*C_INTYPE)),""),"")</f>
        <v/>
      </c>
      <c r="O23" s="301" t="str">
        <f>IF(ISNUMBER(O$10),IFERROR((SUMPRODUCT((P_CKDATE&gt;=O$10)*(P_CKDATE&lt;O$10+7)*ISNUMBER(P_CKDATA)*P_SM*P_INTYPE,P_CKDATA)+SUMPRODUCT((M_CKDATE&gt;=O$10)*(M_CKDATE&lt;O$10+7)*ISNUMBER(M_CKDATA)*M_SM*M_INTYPE,M_CKDATA)+SUMPRODUCT((W_CKDATE&gt;=O$10)*(W_CKDATE&lt;O$10+7)*ISNUMBER(W_CKDATA)*W_SM*W_INTYPE,W_CKDATA)+SUMPRODUCT((B_CKDATE&gt;=O$10)*(B_CKDATE&lt;O$10+7)*ISNUMBER(B_CKDATA)*B_SM*B_INTYPE,B_CKDATA)+SUMPRODUCT((C_CKDATE&gt;=O$10)*(C_CKDATE&lt;O$10+7)*ISNUMBER(C_CKDATA)*C_SM*C_INTYPE,C_CKDATA))/(SUMPRODUCT((P_CKDATE&gt;=O$10)*(P_CKDATE&lt;O$10+7)*ISNUMBER(P_CKDATA)*P_SM*P_INTYPE)+SUMPRODUCT((M_CKDATE&gt;=O$10)*(M_CKDATE&lt;O$10+7)*ISNUMBER(M_CKDATA)*M_SM*M_INTYPE)+SUMPRODUCT((W_CKDATE&gt;=O$10)*(W_CKDATE&lt;O$10+7)*ISNUMBER(W_CKDATA)*W_SM*W_INTYPE)+SUMPRODUCT((B_CKDATE&gt;=O$10)*(B_CKDATE&lt;O$10+7)*ISNUMBER(B_CKDATA)*B_SM*B_INTYPE)+SUMPRODUCT((C_CKDATE&gt;=O$10)*(C_CKDATE&lt;O$10+7)*ISNUMBER(C_CKDATA)*C_SM*C_INTYPE)),""),"")</f>
        <v/>
      </c>
      <c r="P23" s="301" t="str">
        <f>IF(ISNUMBER(P$10),IFERROR((SUMPRODUCT((P_CKDATE&gt;=P$10)*(P_CKDATE&lt;P$10+7)*ISNUMBER(P_CKDATA)*P_SM*P_INTYPE,P_CKDATA)+SUMPRODUCT((M_CKDATE&gt;=P$10)*(M_CKDATE&lt;P$10+7)*ISNUMBER(M_CKDATA)*M_SM*M_INTYPE,M_CKDATA)+SUMPRODUCT((W_CKDATE&gt;=P$10)*(W_CKDATE&lt;P$10+7)*ISNUMBER(W_CKDATA)*W_SM*W_INTYPE,W_CKDATA)+SUMPRODUCT((B_CKDATE&gt;=P$10)*(B_CKDATE&lt;P$10+7)*ISNUMBER(B_CKDATA)*B_SM*B_INTYPE,B_CKDATA)+SUMPRODUCT((C_CKDATE&gt;=P$10)*(C_CKDATE&lt;P$10+7)*ISNUMBER(C_CKDATA)*C_SM*C_INTYPE,C_CKDATA))/(SUMPRODUCT((P_CKDATE&gt;=P$10)*(P_CKDATE&lt;P$10+7)*ISNUMBER(P_CKDATA)*P_SM*P_INTYPE)+SUMPRODUCT((M_CKDATE&gt;=P$10)*(M_CKDATE&lt;P$10+7)*ISNUMBER(M_CKDATA)*M_SM*M_INTYPE)+SUMPRODUCT((W_CKDATE&gt;=P$10)*(W_CKDATE&lt;P$10+7)*ISNUMBER(W_CKDATA)*W_SM*W_INTYPE)+SUMPRODUCT((B_CKDATE&gt;=P$10)*(B_CKDATE&lt;P$10+7)*ISNUMBER(B_CKDATA)*B_SM*B_INTYPE)+SUMPRODUCT((C_CKDATE&gt;=P$10)*(C_CKDATE&lt;P$10+7)*ISNUMBER(C_CKDATA)*C_SM*C_INTYPE)),""),"")</f>
        <v/>
      </c>
      <c r="Q23" s="301" t="str">
        <f>IF(ISNUMBER(Q$10),IFERROR((SUMPRODUCT((P_CKDATE&gt;=Q$10)*(P_CKDATE&lt;Q$10+7)*ISNUMBER(P_CKDATA)*P_SM*P_INTYPE,P_CKDATA)+SUMPRODUCT((M_CKDATE&gt;=Q$10)*(M_CKDATE&lt;Q$10+7)*ISNUMBER(M_CKDATA)*M_SM*M_INTYPE,M_CKDATA)+SUMPRODUCT((W_CKDATE&gt;=Q$10)*(W_CKDATE&lt;Q$10+7)*ISNUMBER(W_CKDATA)*W_SM*W_INTYPE,W_CKDATA)+SUMPRODUCT((B_CKDATE&gt;=Q$10)*(B_CKDATE&lt;Q$10+7)*ISNUMBER(B_CKDATA)*B_SM*B_INTYPE,B_CKDATA)+SUMPRODUCT((C_CKDATE&gt;=Q$10)*(C_CKDATE&lt;Q$10+7)*ISNUMBER(C_CKDATA)*C_SM*C_INTYPE,C_CKDATA))/(SUMPRODUCT((P_CKDATE&gt;=Q$10)*(P_CKDATE&lt;Q$10+7)*ISNUMBER(P_CKDATA)*P_SM*P_INTYPE)+SUMPRODUCT((M_CKDATE&gt;=Q$10)*(M_CKDATE&lt;Q$10+7)*ISNUMBER(M_CKDATA)*M_SM*M_INTYPE)+SUMPRODUCT((W_CKDATE&gt;=Q$10)*(W_CKDATE&lt;Q$10+7)*ISNUMBER(W_CKDATA)*W_SM*W_INTYPE)+SUMPRODUCT((B_CKDATE&gt;=Q$10)*(B_CKDATE&lt;Q$10+7)*ISNUMBER(B_CKDATA)*B_SM*B_INTYPE)+SUMPRODUCT((C_CKDATE&gt;=Q$10)*(C_CKDATE&lt;Q$10+7)*ISNUMBER(C_CKDATA)*C_SM*C_INTYPE)),""),"")</f>
        <v/>
      </c>
      <c r="R23" s="301" t="str">
        <f>IF(ISNUMBER(R$10),IFERROR((SUMPRODUCT((P_CKDATE&gt;=R$10)*(P_CKDATE&lt;R$10+7)*ISNUMBER(P_CKDATA)*P_SM*P_INTYPE,P_CKDATA)+SUMPRODUCT((M_CKDATE&gt;=R$10)*(M_CKDATE&lt;R$10+7)*ISNUMBER(M_CKDATA)*M_SM*M_INTYPE,M_CKDATA)+SUMPRODUCT((W_CKDATE&gt;=R$10)*(W_CKDATE&lt;R$10+7)*ISNUMBER(W_CKDATA)*W_SM*W_INTYPE,W_CKDATA)+SUMPRODUCT((B_CKDATE&gt;=R$10)*(B_CKDATE&lt;R$10+7)*ISNUMBER(B_CKDATA)*B_SM*B_INTYPE,B_CKDATA)+SUMPRODUCT((C_CKDATE&gt;=R$10)*(C_CKDATE&lt;R$10+7)*ISNUMBER(C_CKDATA)*C_SM*C_INTYPE,C_CKDATA))/(SUMPRODUCT((P_CKDATE&gt;=R$10)*(P_CKDATE&lt;R$10+7)*ISNUMBER(P_CKDATA)*P_SM*P_INTYPE)+SUMPRODUCT((M_CKDATE&gt;=R$10)*(M_CKDATE&lt;R$10+7)*ISNUMBER(M_CKDATA)*M_SM*M_INTYPE)+SUMPRODUCT((W_CKDATE&gt;=R$10)*(W_CKDATE&lt;R$10+7)*ISNUMBER(W_CKDATA)*W_SM*W_INTYPE)+SUMPRODUCT((B_CKDATE&gt;=R$10)*(B_CKDATE&lt;R$10+7)*ISNUMBER(B_CKDATA)*B_SM*B_INTYPE)+SUMPRODUCT((C_CKDATE&gt;=R$10)*(C_CKDATE&lt;R$10+7)*ISNUMBER(C_CKDATA)*C_SM*C_INTYPE)),""),"")</f>
        <v/>
      </c>
      <c r="S23" s="301" t="str">
        <f>IF(ISNUMBER(S$10),IFERROR((SUMPRODUCT((P_CKDATE&gt;=S$10)*(P_CKDATE&lt;S$10+7)*ISNUMBER(P_CKDATA)*P_SM*P_INTYPE,P_CKDATA)+SUMPRODUCT((M_CKDATE&gt;=S$10)*(M_CKDATE&lt;S$10+7)*ISNUMBER(M_CKDATA)*M_SM*M_INTYPE,M_CKDATA)+SUMPRODUCT((W_CKDATE&gt;=S$10)*(W_CKDATE&lt;S$10+7)*ISNUMBER(W_CKDATA)*W_SM*W_INTYPE,W_CKDATA)+SUMPRODUCT((B_CKDATE&gt;=S$10)*(B_CKDATE&lt;S$10+7)*ISNUMBER(B_CKDATA)*B_SM*B_INTYPE,B_CKDATA)+SUMPRODUCT((C_CKDATE&gt;=S$10)*(C_CKDATE&lt;S$10+7)*ISNUMBER(C_CKDATA)*C_SM*C_INTYPE,C_CKDATA))/(SUMPRODUCT((P_CKDATE&gt;=S$10)*(P_CKDATE&lt;S$10+7)*ISNUMBER(P_CKDATA)*P_SM*P_INTYPE)+SUMPRODUCT((M_CKDATE&gt;=S$10)*(M_CKDATE&lt;S$10+7)*ISNUMBER(M_CKDATA)*M_SM*M_INTYPE)+SUMPRODUCT((W_CKDATE&gt;=S$10)*(W_CKDATE&lt;S$10+7)*ISNUMBER(W_CKDATA)*W_SM*W_INTYPE)+SUMPRODUCT((B_CKDATE&gt;=S$10)*(B_CKDATE&lt;S$10+7)*ISNUMBER(B_CKDATA)*B_SM*B_INTYPE)+SUMPRODUCT((C_CKDATE&gt;=S$10)*(C_CKDATE&lt;S$10+7)*ISNUMBER(C_CKDATA)*C_SM*C_INTYPE)),""),"")</f>
        <v/>
      </c>
      <c r="T23" s="301" t="str">
        <f>IF(ISNUMBER(T$10),IFERROR((SUMPRODUCT((P_CKDATE&gt;=T$10)*(P_CKDATE&lt;T$10+7)*ISNUMBER(P_CKDATA)*P_SM*P_INTYPE,P_CKDATA)+SUMPRODUCT((M_CKDATE&gt;=T$10)*(M_CKDATE&lt;T$10+7)*ISNUMBER(M_CKDATA)*M_SM*M_INTYPE,M_CKDATA)+SUMPRODUCT((W_CKDATE&gt;=T$10)*(W_CKDATE&lt;T$10+7)*ISNUMBER(W_CKDATA)*W_SM*W_INTYPE,W_CKDATA)+SUMPRODUCT((B_CKDATE&gt;=T$10)*(B_CKDATE&lt;T$10+7)*ISNUMBER(B_CKDATA)*B_SM*B_INTYPE,B_CKDATA)+SUMPRODUCT((C_CKDATE&gt;=T$10)*(C_CKDATE&lt;T$10+7)*ISNUMBER(C_CKDATA)*C_SM*C_INTYPE,C_CKDATA))/(SUMPRODUCT((P_CKDATE&gt;=T$10)*(P_CKDATE&lt;T$10+7)*ISNUMBER(P_CKDATA)*P_SM*P_INTYPE)+SUMPRODUCT((M_CKDATE&gt;=T$10)*(M_CKDATE&lt;T$10+7)*ISNUMBER(M_CKDATA)*M_SM*M_INTYPE)+SUMPRODUCT((W_CKDATE&gt;=T$10)*(W_CKDATE&lt;T$10+7)*ISNUMBER(W_CKDATA)*W_SM*W_INTYPE)+SUMPRODUCT((B_CKDATE&gt;=T$10)*(B_CKDATE&lt;T$10+7)*ISNUMBER(B_CKDATA)*B_SM*B_INTYPE)+SUMPRODUCT((C_CKDATE&gt;=T$10)*(C_CKDATE&lt;T$10+7)*ISNUMBER(C_CKDATA)*C_SM*C_INTYPE)),""),"")</f>
        <v/>
      </c>
      <c r="U23" s="301" t="str">
        <f>IF(ISNUMBER(U$10),IFERROR((SUMPRODUCT((P_CKDATE&gt;=U$10)*(P_CKDATE&lt;U$10+7)*ISNUMBER(P_CKDATA)*P_SM*P_INTYPE,P_CKDATA)+SUMPRODUCT((M_CKDATE&gt;=U$10)*(M_CKDATE&lt;U$10+7)*ISNUMBER(M_CKDATA)*M_SM*M_INTYPE,M_CKDATA)+SUMPRODUCT((W_CKDATE&gt;=U$10)*(W_CKDATE&lt;U$10+7)*ISNUMBER(W_CKDATA)*W_SM*W_INTYPE,W_CKDATA)+SUMPRODUCT((B_CKDATE&gt;=U$10)*(B_CKDATE&lt;U$10+7)*ISNUMBER(B_CKDATA)*B_SM*B_INTYPE,B_CKDATA)+SUMPRODUCT((C_CKDATE&gt;=U$10)*(C_CKDATE&lt;U$10+7)*ISNUMBER(C_CKDATA)*C_SM*C_INTYPE,C_CKDATA))/(SUMPRODUCT((P_CKDATE&gt;=U$10)*(P_CKDATE&lt;U$10+7)*ISNUMBER(P_CKDATA)*P_SM*P_INTYPE)+SUMPRODUCT((M_CKDATE&gt;=U$10)*(M_CKDATE&lt;U$10+7)*ISNUMBER(M_CKDATA)*M_SM*M_INTYPE)+SUMPRODUCT((W_CKDATE&gt;=U$10)*(W_CKDATE&lt;U$10+7)*ISNUMBER(W_CKDATA)*W_SM*W_INTYPE)+SUMPRODUCT((B_CKDATE&gt;=U$10)*(B_CKDATE&lt;U$10+7)*ISNUMBER(B_CKDATA)*B_SM*B_INTYPE)+SUMPRODUCT((C_CKDATE&gt;=U$10)*(C_CKDATE&lt;U$10+7)*ISNUMBER(C_CKDATA)*C_SM*C_INTYPE)),""),"")</f>
        <v/>
      </c>
      <c r="V23" s="301" t="str">
        <f>IF(ISNUMBER(V$10),IFERROR((SUMPRODUCT((P_CKDATE&gt;=V$10)*(P_CKDATE&lt;V$10+7)*ISNUMBER(P_CKDATA)*P_SM*P_INTYPE,P_CKDATA)+SUMPRODUCT((M_CKDATE&gt;=V$10)*(M_CKDATE&lt;V$10+7)*ISNUMBER(M_CKDATA)*M_SM*M_INTYPE,M_CKDATA)+SUMPRODUCT((W_CKDATE&gt;=V$10)*(W_CKDATE&lt;V$10+7)*ISNUMBER(W_CKDATA)*W_SM*W_INTYPE,W_CKDATA)+SUMPRODUCT((B_CKDATE&gt;=V$10)*(B_CKDATE&lt;V$10+7)*ISNUMBER(B_CKDATA)*B_SM*B_INTYPE,B_CKDATA)+SUMPRODUCT((C_CKDATE&gt;=V$10)*(C_CKDATE&lt;V$10+7)*ISNUMBER(C_CKDATA)*C_SM*C_INTYPE,C_CKDATA))/(SUMPRODUCT((P_CKDATE&gt;=V$10)*(P_CKDATE&lt;V$10+7)*ISNUMBER(P_CKDATA)*P_SM*P_INTYPE)+SUMPRODUCT((M_CKDATE&gt;=V$10)*(M_CKDATE&lt;V$10+7)*ISNUMBER(M_CKDATA)*M_SM*M_INTYPE)+SUMPRODUCT((W_CKDATE&gt;=V$10)*(W_CKDATE&lt;V$10+7)*ISNUMBER(W_CKDATA)*W_SM*W_INTYPE)+SUMPRODUCT((B_CKDATE&gt;=V$10)*(B_CKDATE&lt;V$10+7)*ISNUMBER(B_CKDATA)*B_SM*B_INTYPE)+SUMPRODUCT((C_CKDATE&gt;=V$10)*(C_CKDATE&lt;V$10+7)*ISNUMBER(C_CKDATA)*C_SM*C_INTYPE)),""),"")</f>
        <v/>
      </c>
      <c r="W23" s="301" t="str">
        <f>IF(ISNUMBER(W$10),IFERROR((SUMPRODUCT((P_CKDATE&gt;=W$10)*(P_CKDATE&lt;W$10+7)*ISNUMBER(P_CKDATA)*P_SM*P_INTYPE,P_CKDATA)+SUMPRODUCT((M_CKDATE&gt;=W$10)*(M_CKDATE&lt;W$10+7)*ISNUMBER(M_CKDATA)*M_SM*M_INTYPE,M_CKDATA)+SUMPRODUCT((W_CKDATE&gt;=W$10)*(W_CKDATE&lt;W$10+7)*ISNUMBER(W_CKDATA)*W_SM*W_INTYPE,W_CKDATA)+SUMPRODUCT((B_CKDATE&gt;=W$10)*(B_CKDATE&lt;W$10+7)*ISNUMBER(B_CKDATA)*B_SM*B_INTYPE,B_CKDATA)+SUMPRODUCT((C_CKDATE&gt;=W$10)*(C_CKDATE&lt;W$10+7)*ISNUMBER(C_CKDATA)*C_SM*C_INTYPE,C_CKDATA))/(SUMPRODUCT((P_CKDATE&gt;=W$10)*(P_CKDATE&lt;W$10+7)*ISNUMBER(P_CKDATA)*P_SM*P_INTYPE)+SUMPRODUCT((M_CKDATE&gt;=W$10)*(M_CKDATE&lt;W$10+7)*ISNUMBER(M_CKDATA)*M_SM*M_INTYPE)+SUMPRODUCT((W_CKDATE&gt;=W$10)*(W_CKDATE&lt;W$10+7)*ISNUMBER(W_CKDATA)*W_SM*W_INTYPE)+SUMPRODUCT((B_CKDATE&gt;=W$10)*(B_CKDATE&lt;W$10+7)*ISNUMBER(B_CKDATA)*B_SM*B_INTYPE)+SUMPRODUCT((C_CKDATE&gt;=W$10)*(C_CKDATE&lt;W$10+7)*ISNUMBER(C_CKDATA)*C_SM*C_INTYPE)),""),"")</f>
        <v/>
      </c>
      <c r="X23" s="301" t="str">
        <f>IF(ISNUMBER(X$10),IFERROR((SUMPRODUCT((P_CKDATE&gt;=X$10)*(P_CKDATE&lt;X$10+7)*ISNUMBER(P_CKDATA)*P_SM*P_INTYPE,P_CKDATA)+SUMPRODUCT((M_CKDATE&gt;=X$10)*(M_CKDATE&lt;X$10+7)*ISNUMBER(M_CKDATA)*M_SM*M_INTYPE,M_CKDATA)+SUMPRODUCT((W_CKDATE&gt;=X$10)*(W_CKDATE&lt;X$10+7)*ISNUMBER(W_CKDATA)*W_SM*W_INTYPE,W_CKDATA)+SUMPRODUCT((B_CKDATE&gt;=X$10)*(B_CKDATE&lt;X$10+7)*ISNUMBER(B_CKDATA)*B_SM*B_INTYPE,B_CKDATA)+SUMPRODUCT((C_CKDATE&gt;=X$10)*(C_CKDATE&lt;X$10+7)*ISNUMBER(C_CKDATA)*C_SM*C_INTYPE,C_CKDATA))/(SUMPRODUCT((P_CKDATE&gt;=X$10)*(P_CKDATE&lt;X$10+7)*ISNUMBER(P_CKDATA)*P_SM*P_INTYPE)+SUMPRODUCT((M_CKDATE&gt;=X$10)*(M_CKDATE&lt;X$10+7)*ISNUMBER(M_CKDATA)*M_SM*M_INTYPE)+SUMPRODUCT((W_CKDATE&gt;=X$10)*(W_CKDATE&lt;X$10+7)*ISNUMBER(W_CKDATA)*W_SM*W_INTYPE)+SUMPRODUCT((B_CKDATE&gt;=X$10)*(B_CKDATE&lt;X$10+7)*ISNUMBER(B_CKDATA)*B_SM*B_INTYPE)+SUMPRODUCT((C_CKDATE&gt;=X$10)*(C_CKDATE&lt;X$10+7)*ISNUMBER(C_CKDATA)*C_SM*C_INTYPE)),""),"")</f>
        <v/>
      </c>
      <c r="Y23" s="301" t="str">
        <f>IF(ISNUMBER(Y$10),IFERROR((SUMPRODUCT((P_CKDATE&gt;=Y$10)*(P_CKDATE&lt;Y$10+7)*ISNUMBER(P_CKDATA)*P_SM*P_INTYPE,P_CKDATA)+SUMPRODUCT((M_CKDATE&gt;=Y$10)*(M_CKDATE&lt;Y$10+7)*ISNUMBER(M_CKDATA)*M_SM*M_INTYPE,M_CKDATA)+SUMPRODUCT((W_CKDATE&gt;=Y$10)*(W_CKDATE&lt;Y$10+7)*ISNUMBER(W_CKDATA)*W_SM*W_INTYPE,W_CKDATA)+SUMPRODUCT((B_CKDATE&gt;=Y$10)*(B_CKDATE&lt;Y$10+7)*ISNUMBER(B_CKDATA)*B_SM*B_INTYPE,B_CKDATA)+SUMPRODUCT((C_CKDATE&gt;=Y$10)*(C_CKDATE&lt;Y$10+7)*ISNUMBER(C_CKDATA)*C_SM*C_INTYPE,C_CKDATA))/(SUMPRODUCT((P_CKDATE&gt;=Y$10)*(P_CKDATE&lt;Y$10+7)*ISNUMBER(P_CKDATA)*P_SM*P_INTYPE)+SUMPRODUCT((M_CKDATE&gt;=Y$10)*(M_CKDATE&lt;Y$10+7)*ISNUMBER(M_CKDATA)*M_SM*M_INTYPE)+SUMPRODUCT((W_CKDATE&gt;=Y$10)*(W_CKDATE&lt;Y$10+7)*ISNUMBER(W_CKDATA)*W_SM*W_INTYPE)+SUMPRODUCT((B_CKDATE&gt;=Y$10)*(B_CKDATE&lt;Y$10+7)*ISNUMBER(B_CKDATA)*B_SM*B_INTYPE)+SUMPRODUCT((C_CKDATE&gt;=Y$10)*(C_CKDATE&lt;Y$10+7)*ISNUMBER(C_CKDATA)*C_SM*C_INTYPE)),""),"")</f>
        <v/>
      </c>
      <c r="Z23" s="301" t="str">
        <f>IF(ISNUMBER(Z$10),IFERROR((SUMPRODUCT((P_CKDATE&gt;=Z$10)*(P_CKDATE&lt;Z$10+7)*ISNUMBER(P_CKDATA)*P_SM*P_INTYPE,P_CKDATA)+SUMPRODUCT((M_CKDATE&gt;=Z$10)*(M_CKDATE&lt;Z$10+7)*ISNUMBER(M_CKDATA)*M_SM*M_INTYPE,M_CKDATA)+SUMPRODUCT((W_CKDATE&gt;=Z$10)*(W_CKDATE&lt;Z$10+7)*ISNUMBER(W_CKDATA)*W_SM*W_INTYPE,W_CKDATA)+SUMPRODUCT((B_CKDATE&gt;=Z$10)*(B_CKDATE&lt;Z$10+7)*ISNUMBER(B_CKDATA)*B_SM*B_INTYPE,B_CKDATA)+SUMPRODUCT((C_CKDATE&gt;=Z$10)*(C_CKDATE&lt;Z$10+7)*ISNUMBER(C_CKDATA)*C_SM*C_INTYPE,C_CKDATA))/(SUMPRODUCT((P_CKDATE&gt;=Z$10)*(P_CKDATE&lt;Z$10+7)*ISNUMBER(P_CKDATA)*P_SM*P_INTYPE)+SUMPRODUCT((M_CKDATE&gt;=Z$10)*(M_CKDATE&lt;Z$10+7)*ISNUMBER(M_CKDATA)*M_SM*M_INTYPE)+SUMPRODUCT((W_CKDATE&gt;=Z$10)*(W_CKDATE&lt;Z$10+7)*ISNUMBER(W_CKDATA)*W_SM*W_INTYPE)+SUMPRODUCT((B_CKDATE&gt;=Z$10)*(B_CKDATE&lt;Z$10+7)*ISNUMBER(B_CKDATA)*B_SM*B_INTYPE)+SUMPRODUCT((C_CKDATE&gt;=Z$10)*(C_CKDATE&lt;Z$10+7)*ISNUMBER(C_CKDATA)*C_SM*C_INTYPE)),""),"")</f>
        <v/>
      </c>
      <c r="AA23" s="301" t="str">
        <f>IF(ISNUMBER(AA$10),IFERROR((SUMPRODUCT((P_CKDATE&gt;=AA$10)*(P_CKDATE&lt;AA$10+7)*ISNUMBER(P_CKDATA)*P_SM*P_INTYPE,P_CKDATA)+SUMPRODUCT((M_CKDATE&gt;=AA$10)*(M_CKDATE&lt;AA$10+7)*ISNUMBER(M_CKDATA)*M_SM*M_INTYPE,M_CKDATA)+SUMPRODUCT((W_CKDATE&gt;=AA$10)*(W_CKDATE&lt;AA$10+7)*ISNUMBER(W_CKDATA)*W_SM*W_INTYPE,W_CKDATA)+SUMPRODUCT((B_CKDATE&gt;=AA$10)*(B_CKDATE&lt;AA$10+7)*ISNUMBER(B_CKDATA)*B_SM*B_INTYPE,B_CKDATA)+SUMPRODUCT((C_CKDATE&gt;=AA$10)*(C_CKDATE&lt;AA$10+7)*ISNUMBER(C_CKDATA)*C_SM*C_INTYPE,C_CKDATA))/(SUMPRODUCT((P_CKDATE&gt;=AA$10)*(P_CKDATE&lt;AA$10+7)*ISNUMBER(P_CKDATA)*P_SM*P_INTYPE)+SUMPRODUCT((M_CKDATE&gt;=AA$10)*(M_CKDATE&lt;AA$10+7)*ISNUMBER(M_CKDATA)*M_SM*M_INTYPE)+SUMPRODUCT((W_CKDATE&gt;=AA$10)*(W_CKDATE&lt;AA$10+7)*ISNUMBER(W_CKDATA)*W_SM*W_INTYPE)+SUMPRODUCT((B_CKDATE&gt;=AA$10)*(B_CKDATE&lt;AA$10+7)*ISNUMBER(B_CKDATA)*B_SM*B_INTYPE)+SUMPRODUCT((C_CKDATE&gt;=AA$10)*(C_CKDATE&lt;AA$10+7)*ISNUMBER(C_CKDATA)*C_SM*C_INTYPE)),""),"")</f>
        <v/>
      </c>
      <c r="AB23" s="301" t="str">
        <f>IF(ISNUMBER(AB$10),IFERROR((SUMPRODUCT((P_CKDATE&gt;=AB$10)*(P_CKDATE&lt;AB$10+7)*ISNUMBER(P_CKDATA)*P_SM*P_INTYPE,P_CKDATA)+SUMPRODUCT((M_CKDATE&gt;=AB$10)*(M_CKDATE&lt;AB$10+7)*ISNUMBER(M_CKDATA)*M_SM*M_INTYPE,M_CKDATA)+SUMPRODUCT((W_CKDATE&gt;=AB$10)*(W_CKDATE&lt;AB$10+7)*ISNUMBER(W_CKDATA)*W_SM*W_INTYPE,W_CKDATA)+SUMPRODUCT((B_CKDATE&gt;=AB$10)*(B_CKDATE&lt;AB$10+7)*ISNUMBER(B_CKDATA)*B_SM*B_INTYPE,B_CKDATA)+SUMPRODUCT((C_CKDATE&gt;=AB$10)*(C_CKDATE&lt;AB$10+7)*ISNUMBER(C_CKDATA)*C_SM*C_INTYPE,C_CKDATA))/(SUMPRODUCT((P_CKDATE&gt;=AB$10)*(P_CKDATE&lt;AB$10+7)*ISNUMBER(P_CKDATA)*P_SM*P_INTYPE)+SUMPRODUCT((M_CKDATE&gt;=AB$10)*(M_CKDATE&lt;AB$10+7)*ISNUMBER(M_CKDATA)*M_SM*M_INTYPE)+SUMPRODUCT((W_CKDATE&gt;=AB$10)*(W_CKDATE&lt;AB$10+7)*ISNUMBER(W_CKDATA)*W_SM*W_INTYPE)+SUMPRODUCT((B_CKDATE&gt;=AB$10)*(B_CKDATE&lt;AB$10+7)*ISNUMBER(B_CKDATA)*B_SM*B_INTYPE)+SUMPRODUCT((C_CKDATE&gt;=AB$10)*(C_CKDATE&lt;AB$10+7)*ISNUMBER(C_CKDATA)*C_SM*C_INTYPE)),""),"")</f>
        <v/>
      </c>
      <c r="AC23" s="301" t="str">
        <f>IF(ISNUMBER(AC$10),IFERROR((SUMPRODUCT((P_CKDATE&gt;=AC$10)*(P_CKDATE&lt;AC$10+7)*ISNUMBER(P_CKDATA)*P_SM*P_INTYPE,P_CKDATA)+SUMPRODUCT((M_CKDATE&gt;=AC$10)*(M_CKDATE&lt;AC$10+7)*ISNUMBER(M_CKDATA)*M_SM*M_INTYPE,M_CKDATA)+SUMPRODUCT((W_CKDATE&gt;=AC$10)*(W_CKDATE&lt;AC$10+7)*ISNUMBER(W_CKDATA)*W_SM*W_INTYPE,W_CKDATA)+SUMPRODUCT((B_CKDATE&gt;=AC$10)*(B_CKDATE&lt;AC$10+7)*ISNUMBER(B_CKDATA)*B_SM*B_INTYPE,B_CKDATA)+SUMPRODUCT((C_CKDATE&gt;=AC$10)*(C_CKDATE&lt;AC$10+7)*ISNUMBER(C_CKDATA)*C_SM*C_INTYPE,C_CKDATA))/(SUMPRODUCT((P_CKDATE&gt;=AC$10)*(P_CKDATE&lt;AC$10+7)*ISNUMBER(P_CKDATA)*P_SM*P_INTYPE)+SUMPRODUCT((M_CKDATE&gt;=AC$10)*(M_CKDATE&lt;AC$10+7)*ISNUMBER(M_CKDATA)*M_SM*M_INTYPE)+SUMPRODUCT((W_CKDATE&gt;=AC$10)*(W_CKDATE&lt;AC$10+7)*ISNUMBER(W_CKDATA)*W_SM*W_INTYPE)+SUMPRODUCT((B_CKDATE&gt;=AC$10)*(B_CKDATE&lt;AC$10+7)*ISNUMBER(B_CKDATA)*B_SM*B_INTYPE)+SUMPRODUCT((C_CKDATE&gt;=AC$10)*(C_CKDATE&lt;AC$10+7)*ISNUMBER(C_CKDATA)*C_SM*C_INTYPE)),""),"")</f>
        <v/>
      </c>
      <c r="AD23" s="301" t="str">
        <f>IF(ISNUMBER(AD$10),IFERROR((SUMPRODUCT((P_CKDATE&gt;=AD$10)*(P_CKDATE&lt;AD$10+7)*ISNUMBER(P_CKDATA)*P_SM*P_INTYPE,P_CKDATA)+SUMPRODUCT((M_CKDATE&gt;=AD$10)*(M_CKDATE&lt;AD$10+7)*ISNUMBER(M_CKDATA)*M_SM*M_INTYPE,M_CKDATA)+SUMPRODUCT((W_CKDATE&gt;=AD$10)*(W_CKDATE&lt;AD$10+7)*ISNUMBER(W_CKDATA)*W_SM*W_INTYPE,W_CKDATA)+SUMPRODUCT((B_CKDATE&gt;=AD$10)*(B_CKDATE&lt;AD$10+7)*ISNUMBER(B_CKDATA)*B_SM*B_INTYPE,B_CKDATA)+SUMPRODUCT((C_CKDATE&gt;=AD$10)*(C_CKDATE&lt;AD$10+7)*ISNUMBER(C_CKDATA)*C_SM*C_INTYPE,C_CKDATA))/(SUMPRODUCT((P_CKDATE&gt;=AD$10)*(P_CKDATE&lt;AD$10+7)*ISNUMBER(P_CKDATA)*P_SM*P_INTYPE)+SUMPRODUCT((M_CKDATE&gt;=AD$10)*(M_CKDATE&lt;AD$10+7)*ISNUMBER(M_CKDATA)*M_SM*M_INTYPE)+SUMPRODUCT((W_CKDATE&gt;=AD$10)*(W_CKDATE&lt;AD$10+7)*ISNUMBER(W_CKDATA)*W_SM*W_INTYPE)+SUMPRODUCT((B_CKDATE&gt;=AD$10)*(B_CKDATE&lt;AD$10+7)*ISNUMBER(B_CKDATA)*B_SM*B_INTYPE)+SUMPRODUCT((C_CKDATE&gt;=AD$10)*(C_CKDATE&lt;AD$10+7)*ISNUMBER(C_CKDATA)*C_SM*C_INTYPE)),""),"")</f>
        <v/>
      </c>
      <c r="AE23" s="301" t="str">
        <f>IF(ISNUMBER(AE$10),IFERROR((SUMPRODUCT((P_CKDATE&gt;=AE$10)*(P_CKDATE&lt;AE$10+7)*ISNUMBER(P_CKDATA)*P_SM*P_INTYPE,P_CKDATA)+SUMPRODUCT((M_CKDATE&gt;=AE$10)*(M_CKDATE&lt;AE$10+7)*ISNUMBER(M_CKDATA)*M_SM*M_INTYPE,M_CKDATA)+SUMPRODUCT((W_CKDATE&gt;=AE$10)*(W_CKDATE&lt;AE$10+7)*ISNUMBER(W_CKDATA)*W_SM*W_INTYPE,W_CKDATA)+SUMPRODUCT((B_CKDATE&gt;=AE$10)*(B_CKDATE&lt;AE$10+7)*ISNUMBER(B_CKDATA)*B_SM*B_INTYPE,B_CKDATA)+SUMPRODUCT((C_CKDATE&gt;=AE$10)*(C_CKDATE&lt;AE$10+7)*ISNUMBER(C_CKDATA)*C_SM*C_INTYPE,C_CKDATA))/(SUMPRODUCT((P_CKDATE&gt;=AE$10)*(P_CKDATE&lt;AE$10+7)*ISNUMBER(P_CKDATA)*P_SM*P_INTYPE)+SUMPRODUCT((M_CKDATE&gt;=AE$10)*(M_CKDATE&lt;AE$10+7)*ISNUMBER(M_CKDATA)*M_SM*M_INTYPE)+SUMPRODUCT((W_CKDATE&gt;=AE$10)*(W_CKDATE&lt;AE$10+7)*ISNUMBER(W_CKDATA)*W_SM*W_INTYPE)+SUMPRODUCT((B_CKDATE&gt;=AE$10)*(B_CKDATE&lt;AE$10+7)*ISNUMBER(B_CKDATA)*B_SM*B_INTYPE)+SUMPRODUCT((C_CKDATE&gt;=AE$10)*(C_CKDATE&lt;AE$10+7)*ISNUMBER(C_CKDATA)*C_SM*C_INTYPE)),""),"")</f>
        <v/>
      </c>
      <c r="AF23" s="301" t="str">
        <f>IF(ISNUMBER(AF$10),IFERROR((SUMPRODUCT((P_CKDATE&gt;=AF$10)*(P_CKDATE&lt;AF$10+7)*ISNUMBER(P_CKDATA)*P_SM*P_INTYPE,P_CKDATA)+SUMPRODUCT((M_CKDATE&gt;=AF$10)*(M_CKDATE&lt;AF$10+7)*ISNUMBER(M_CKDATA)*M_SM*M_INTYPE,M_CKDATA)+SUMPRODUCT((W_CKDATE&gt;=AF$10)*(W_CKDATE&lt;AF$10+7)*ISNUMBER(W_CKDATA)*W_SM*W_INTYPE,W_CKDATA)+SUMPRODUCT((B_CKDATE&gt;=AF$10)*(B_CKDATE&lt;AF$10+7)*ISNUMBER(B_CKDATA)*B_SM*B_INTYPE,B_CKDATA)+SUMPRODUCT((C_CKDATE&gt;=AF$10)*(C_CKDATE&lt;AF$10+7)*ISNUMBER(C_CKDATA)*C_SM*C_INTYPE,C_CKDATA))/(SUMPRODUCT((P_CKDATE&gt;=AF$10)*(P_CKDATE&lt;AF$10+7)*ISNUMBER(P_CKDATA)*P_SM*P_INTYPE)+SUMPRODUCT((M_CKDATE&gt;=AF$10)*(M_CKDATE&lt;AF$10+7)*ISNUMBER(M_CKDATA)*M_SM*M_INTYPE)+SUMPRODUCT((W_CKDATE&gt;=AF$10)*(W_CKDATE&lt;AF$10+7)*ISNUMBER(W_CKDATA)*W_SM*W_INTYPE)+SUMPRODUCT((B_CKDATE&gt;=AF$10)*(B_CKDATE&lt;AF$10+7)*ISNUMBER(B_CKDATA)*B_SM*B_INTYPE)+SUMPRODUCT((C_CKDATE&gt;=AF$10)*(C_CKDATE&lt;AF$10+7)*ISNUMBER(C_CKDATA)*C_SM*C_INTYPE)),""),"")</f>
        <v/>
      </c>
      <c r="AG23" s="301" t="str">
        <f>IF(ISNUMBER(AG$10),IFERROR((SUMPRODUCT((P_CKDATE&gt;=AG$10)*(P_CKDATE&lt;AG$10+7)*ISNUMBER(P_CKDATA)*P_SM*P_INTYPE,P_CKDATA)+SUMPRODUCT((M_CKDATE&gt;=AG$10)*(M_CKDATE&lt;AG$10+7)*ISNUMBER(M_CKDATA)*M_SM*M_INTYPE,M_CKDATA)+SUMPRODUCT((W_CKDATE&gt;=AG$10)*(W_CKDATE&lt;AG$10+7)*ISNUMBER(W_CKDATA)*W_SM*W_INTYPE,W_CKDATA)+SUMPRODUCT((B_CKDATE&gt;=AG$10)*(B_CKDATE&lt;AG$10+7)*ISNUMBER(B_CKDATA)*B_SM*B_INTYPE,B_CKDATA)+SUMPRODUCT((C_CKDATE&gt;=AG$10)*(C_CKDATE&lt;AG$10+7)*ISNUMBER(C_CKDATA)*C_SM*C_INTYPE,C_CKDATA))/(SUMPRODUCT((P_CKDATE&gt;=AG$10)*(P_CKDATE&lt;AG$10+7)*ISNUMBER(P_CKDATA)*P_SM*P_INTYPE)+SUMPRODUCT((M_CKDATE&gt;=AG$10)*(M_CKDATE&lt;AG$10+7)*ISNUMBER(M_CKDATA)*M_SM*M_INTYPE)+SUMPRODUCT((W_CKDATE&gt;=AG$10)*(W_CKDATE&lt;AG$10+7)*ISNUMBER(W_CKDATA)*W_SM*W_INTYPE)+SUMPRODUCT((B_CKDATE&gt;=AG$10)*(B_CKDATE&lt;AG$10+7)*ISNUMBER(B_CKDATA)*B_SM*B_INTYPE)+SUMPRODUCT((C_CKDATE&gt;=AG$10)*(C_CKDATE&lt;AG$10+7)*ISNUMBER(C_CKDATA)*C_SM*C_INTYPE)),""),"")</f>
        <v/>
      </c>
      <c r="AH23" s="301" t="str">
        <f>IF(ISNUMBER(AH$10),IFERROR((SUMPRODUCT((P_CKDATE&gt;=AH$10)*(P_CKDATE&lt;AH$10+7)*ISNUMBER(P_CKDATA)*P_SM*P_INTYPE,P_CKDATA)+SUMPRODUCT((M_CKDATE&gt;=AH$10)*(M_CKDATE&lt;AH$10+7)*ISNUMBER(M_CKDATA)*M_SM*M_INTYPE,M_CKDATA)+SUMPRODUCT((W_CKDATE&gt;=AH$10)*(W_CKDATE&lt;AH$10+7)*ISNUMBER(W_CKDATA)*W_SM*W_INTYPE,W_CKDATA)+SUMPRODUCT((B_CKDATE&gt;=AH$10)*(B_CKDATE&lt;AH$10+7)*ISNUMBER(B_CKDATA)*B_SM*B_INTYPE,B_CKDATA)+SUMPRODUCT((C_CKDATE&gt;=AH$10)*(C_CKDATE&lt;AH$10+7)*ISNUMBER(C_CKDATA)*C_SM*C_INTYPE,C_CKDATA))/(SUMPRODUCT((P_CKDATE&gt;=AH$10)*(P_CKDATE&lt;AH$10+7)*ISNUMBER(P_CKDATA)*P_SM*P_INTYPE)+SUMPRODUCT((M_CKDATE&gt;=AH$10)*(M_CKDATE&lt;AH$10+7)*ISNUMBER(M_CKDATA)*M_SM*M_INTYPE)+SUMPRODUCT((W_CKDATE&gt;=AH$10)*(W_CKDATE&lt;AH$10+7)*ISNUMBER(W_CKDATA)*W_SM*W_INTYPE)+SUMPRODUCT((B_CKDATE&gt;=AH$10)*(B_CKDATE&lt;AH$10+7)*ISNUMBER(B_CKDATA)*B_SM*B_INTYPE)+SUMPRODUCT((C_CKDATE&gt;=AH$10)*(C_CKDATE&lt;AH$10+7)*ISNUMBER(C_CKDATA)*C_SM*C_INTYPE)),""),"")</f>
        <v/>
      </c>
      <c r="AI23" s="301" t="str">
        <f>IF(ISNUMBER(AI$10),IFERROR((SUMPRODUCT((P_CKDATE&gt;=AI$10)*(P_CKDATE&lt;AI$10+7)*ISNUMBER(P_CKDATA)*P_SM*P_INTYPE,P_CKDATA)+SUMPRODUCT((M_CKDATE&gt;=AI$10)*(M_CKDATE&lt;AI$10+7)*ISNUMBER(M_CKDATA)*M_SM*M_INTYPE,M_CKDATA)+SUMPRODUCT((W_CKDATE&gt;=AI$10)*(W_CKDATE&lt;AI$10+7)*ISNUMBER(W_CKDATA)*W_SM*W_INTYPE,W_CKDATA)+SUMPRODUCT((B_CKDATE&gt;=AI$10)*(B_CKDATE&lt;AI$10+7)*ISNUMBER(B_CKDATA)*B_SM*B_INTYPE,B_CKDATA)+SUMPRODUCT((C_CKDATE&gt;=AI$10)*(C_CKDATE&lt;AI$10+7)*ISNUMBER(C_CKDATA)*C_SM*C_INTYPE,C_CKDATA))/(SUMPRODUCT((P_CKDATE&gt;=AI$10)*(P_CKDATE&lt;AI$10+7)*ISNUMBER(P_CKDATA)*P_SM*P_INTYPE)+SUMPRODUCT((M_CKDATE&gt;=AI$10)*(M_CKDATE&lt;AI$10+7)*ISNUMBER(M_CKDATA)*M_SM*M_INTYPE)+SUMPRODUCT((W_CKDATE&gt;=AI$10)*(W_CKDATE&lt;AI$10+7)*ISNUMBER(W_CKDATA)*W_SM*W_INTYPE)+SUMPRODUCT((B_CKDATE&gt;=AI$10)*(B_CKDATE&lt;AI$10+7)*ISNUMBER(B_CKDATA)*B_SM*B_INTYPE)+SUMPRODUCT((C_CKDATE&gt;=AI$10)*(C_CKDATE&lt;AI$10+7)*ISNUMBER(C_CKDATA)*C_SM*C_INTYPE)),""),"")</f>
        <v/>
      </c>
    </row>
    <row r="24" spans="2:38" s="187" customFormat="1" x14ac:dyDescent="0.2">
      <c r="B24" s="266"/>
      <c r="C24" s="267" t="s">
        <v>358</v>
      </c>
      <c r="D24" s="301" t="str">
        <f>Planning!D5</f>
        <v/>
      </c>
      <c r="E24" s="302" t="str">
        <f>IF(ISNUMBER(E$10),IFERROR(SUMPRODUCT((P_CKDATE&gt;=E$10)*(P_CKDATE&lt;E$10+7)*ISNUMBER(P_CKDATA)*P_SM*P_INTYPE,P_CKDATA)/SUMPRODUCT((P_CKDATE&gt;=E$10)*(P_CKDATE&lt;E$10+7)*ISNUMBER(P_CKDATA)*P_SM*P_INTYPE),""),"")</f>
        <v/>
      </c>
      <c r="F24" s="302" t="str">
        <f>IF(ISNUMBER(F$10),IFERROR(SUMPRODUCT((P_CKDATE&gt;=F$10)*(P_CKDATE&lt;F$10+7)*ISNUMBER(P_CKDATA)*P_SM*P_INTYPE,P_CKDATA)/SUMPRODUCT((P_CKDATE&gt;=F$10)*(P_CKDATE&lt;F$10+7)*ISNUMBER(P_CKDATA)*P_SM*P_INTYPE),""),"")</f>
        <v/>
      </c>
      <c r="G24" s="302" t="str">
        <f>IF(ISNUMBER(G$10),IFERROR(SUMPRODUCT((P_CKDATE&gt;=G$10)*(P_CKDATE&lt;G$10+7)*ISNUMBER(P_CKDATA)*P_SM*P_INTYPE,P_CKDATA)/SUMPRODUCT((P_CKDATE&gt;=G$10)*(P_CKDATE&lt;G$10+7)*ISNUMBER(P_CKDATA)*P_SM*P_INTYPE),""),"")</f>
        <v/>
      </c>
      <c r="H24" s="302" t="str">
        <f>IF(ISNUMBER(H$10),IFERROR(SUMPRODUCT((P_CKDATE&gt;=H$10)*(P_CKDATE&lt;H$10+7)*ISNUMBER(P_CKDATA)*P_SM*P_INTYPE,P_CKDATA)/SUMPRODUCT((P_CKDATE&gt;=H$10)*(P_CKDATE&lt;H$10+7)*ISNUMBER(P_CKDATA)*P_SM*P_INTYPE),""),"")</f>
        <v/>
      </c>
      <c r="I24" s="302" t="str">
        <f>IF(ISNUMBER(I$10),IFERROR(SUMPRODUCT((P_CKDATE&gt;=I$10)*(P_CKDATE&lt;I$10+7)*ISNUMBER(P_CKDATA)*P_SM*P_INTYPE,P_CKDATA)/SUMPRODUCT((P_CKDATE&gt;=I$10)*(P_CKDATE&lt;I$10+7)*ISNUMBER(P_CKDATA)*P_SM*P_INTYPE),""),"")</f>
        <v/>
      </c>
      <c r="J24" s="302" t="str">
        <f>IF(ISNUMBER(J$10),IFERROR(SUMPRODUCT((P_CKDATE&gt;=J$10)*(P_CKDATE&lt;J$10+7)*ISNUMBER(P_CKDATA)*P_SM*P_INTYPE,P_CKDATA)/SUMPRODUCT((P_CKDATE&gt;=J$10)*(P_CKDATE&lt;J$10+7)*ISNUMBER(P_CKDATA)*P_SM*P_INTYPE),""),"")</f>
        <v/>
      </c>
      <c r="K24" s="302" t="str">
        <f>IF(ISNUMBER(K$10),IFERROR(SUMPRODUCT((P_CKDATE&gt;=K$10)*(P_CKDATE&lt;K$10+7)*ISNUMBER(P_CKDATA)*P_SM*P_INTYPE,P_CKDATA)/SUMPRODUCT((P_CKDATE&gt;=K$10)*(P_CKDATE&lt;K$10+7)*ISNUMBER(P_CKDATA)*P_SM*P_INTYPE),""),"")</f>
        <v/>
      </c>
      <c r="L24" s="302" t="str">
        <f>IF(ISNUMBER(L$10),IFERROR(SUMPRODUCT((P_CKDATE&gt;=L$10)*(P_CKDATE&lt;L$10+7)*ISNUMBER(P_CKDATA)*P_SM*P_INTYPE,P_CKDATA)/SUMPRODUCT((P_CKDATE&gt;=L$10)*(P_CKDATE&lt;L$10+7)*ISNUMBER(P_CKDATA)*P_SM*P_INTYPE),""),"")</f>
        <v/>
      </c>
      <c r="M24" s="302" t="str">
        <f>IF(ISNUMBER(M$10),IFERROR(SUMPRODUCT((P_CKDATE&gt;=M$10)*(P_CKDATE&lt;M$10+7)*ISNUMBER(P_CKDATA)*P_SM*P_INTYPE,P_CKDATA)/SUMPRODUCT((P_CKDATE&gt;=M$10)*(P_CKDATE&lt;M$10+7)*ISNUMBER(P_CKDATA)*P_SM*P_INTYPE),""),"")</f>
        <v/>
      </c>
      <c r="N24" s="302" t="str">
        <f>IF(ISNUMBER(N$10),IFERROR(SUMPRODUCT((P_CKDATE&gt;=N$10)*(P_CKDATE&lt;N$10+7)*ISNUMBER(P_CKDATA)*P_SM*P_INTYPE,P_CKDATA)/SUMPRODUCT((P_CKDATE&gt;=N$10)*(P_CKDATE&lt;N$10+7)*ISNUMBER(P_CKDATA)*P_SM*P_INTYPE),""),"")</f>
        <v/>
      </c>
      <c r="O24" s="302" t="str">
        <f>IF(ISNUMBER(O$10),IFERROR(SUMPRODUCT((P_CKDATE&gt;=O$10)*(P_CKDATE&lt;O$10+7)*ISNUMBER(P_CKDATA)*P_SM*P_INTYPE,P_CKDATA)/SUMPRODUCT((P_CKDATE&gt;=O$10)*(P_CKDATE&lt;O$10+7)*ISNUMBER(P_CKDATA)*P_SM*P_INTYPE),""),"")</f>
        <v/>
      </c>
      <c r="P24" s="302" t="str">
        <f>IF(ISNUMBER(P$10),IFERROR(SUMPRODUCT((P_CKDATE&gt;=P$10)*(P_CKDATE&lt;P$10+7)*ISNUMBER(P_CKDATA)*P_SM*P_INTYPE,P_CKDATA)/SUMPRODUCT((P_CKDATE&gt;=P$10)*(P_CKDATE&lt;P$10+7)*ISNUMBER(P_CKDATA)*P_SM*P_INTYPE),""),"")</f>
        <v/>
      </c>
      <c r="Q24" s="302" t="str">
        <f>IF(ISNUMBER(Q$10),IFERROR(SUMPRODUCT((P_CKDATE&gt;=Q$10)*(P_CKDATE&lt;Q$10+7)*ISNUMBER(P_CKDATA)*P_SM*P_INTYPE,P_CKDATA)/SUMPRODUCT((P_CKDATE&gt;=Q$10)*(P_CKDATE&lt;Q$10+7)*ISNUMBER(P_CKDATA)*P_SM*P_INTYPE),""),"")</f>
        <v/>
      </c>
      <c r="R24" s="302" t="str">
        <f>IF(ISNUMBER(R$10),IFERROR(SUMPRODUCT((P_CKDATE&gt;=R$10)*(P_CKDATE&lt;R$10+7)*ISNUMBER(P_CKDATA)*P_SM*P_INTYPE,P_CKDATA)/SUMPRODUCT((P_CKDATE&gt;=R$10)*(P_CKDATE&lt;R$10+7)*ISNUMBER(P_CKDATA)*P_SM*P_INTYPE),""),"")</f>
        <v/>
      </c>
      <c r="S24" s="302" t="str">
        <f>IF(ISNUMBER(S$10),IFERROR(SUMPRODUCT((P_CKDATE&gt;=S$10)*(P_CKDATE&lt;S$10+7)*ISNUMBER(P_CKDATA)*P_SM*P_INTYPE,P_CKDATA)/SUMPRODUCT((P_CKDATE&gt;=S$10)*(P_CKDATE&lt;S$10+7)*ISNUMBER(P_CKDATA)*P_SM*P_INTYPE),""),"")</f>
        <v/>
      </c>
      <c r="T24" s="302" t="str">
        <f>IF(ISNUMBER(T$10),IFERROR(SUMPRODUCT((P_CKDATE&gt;=T$10)*(P_CKDATE&lt;T$10+7)*ISNUMBER(P_CKDATA)*P_SM*P_INTYPE,P_CKDATA)/SUMPRODUCT((P_CKDATE&gt;=T$10)*(P_CKDATE&lt;T$10+7)*ISNUMBER(P_CKDATA)*P_SM*P_INTYPE),""),"")</f>
        <v/>
      </c>
      <c r="U24" s="302" t="str">
        <f>IF(ISNUMBER(U$10),IFERROR(SUMPRODUCT((P_CKDATE&gt;=U$10)*(P_CKDATE&lt;U$10+7)*ISNUMBER(P_CKDATA)*P_SM*P_INTYPE,P_CKDATA)/SUMPRODUCT((P_CKDATE&gt;=U$10)*(P_CKDATE&lt;U$10+7)*ISNUMBER(P_CKDATA)*P_SM*P_INTYPE),""),"")</f>
        <v/>
      </c>
      <c r="V24" s="302" t="str">
        <f>IF(ISNUMBER(V$10),IFERROR(SUMPRODUCT((P_CKDATE&gt;=V$10)*(P_CKDATE&lt;V$10+7)*ISNUMBER(P_CKDATA)*P_SM*P_INTYPE,P_CKDATA)/SUMPRODUCT((P_CKDATE&gt;=V$10)*(P_CKDATE&lt;V$10+7)*ISNUMBER(P_CKDATA)*P_SM*P_INTYPE),""),"")</f>
        <v/>
      </c>
      <c r="W24" s="302" t="str">
        <f>IF(ISNUMBER(W$10),IFERROR(SUMPRODUCT((P_CKDATE&gt;=W$10)*(P_CKDATE&lt;W$10+7)*ISNUMBER(P_CKDATA)*P_SM*P_INTYPE,P_CKDATA)/SUMPRODUCT((P_CKDATE&gt;=W$10)*(P_CKDATE&lt;W$10+7)*ISNUMBER(P_CKDATA)*P_SM*P_INTYPE),""),"")</f>
        <v/>
      </c>
      <c r="X24" s="302" t="str">
        <f>IF(ISNUMBER(X$10),IFERROR(SUMPRODUCT((P_CKDATE&gt;=X$10)*(P_CKDATE&lt;X$10+7)*ISNUMBER(P_CKDATA)*P_SM*P_INTYPE,P_CKDATA)/SUMPRODUCT((P_CKDATE&gt;=X$10)*(P_CKDATE&lt;X$10+7)*ISNUMBER(P_CKDATA)*P_SM*P_INTYPE),""),"")</f>
        <v/>
      </c>
      <c r="Y24" s="302" t="str">
        <f>IF(ISNUMBER(Y$10),IFERROR(SUMPRODUCT((P_CKDATE&gt;=Y$10)*(P_CKDATE&lt;Y$10+7)*ISNUMBER(P_CKDATA)*P_SM*P_INTYPE,P_CKDATA)/SUMPRODUCT((P_CKDATE&gt;=Y$10)*(P_CKDATE&lt;Y$10+7)*ISNUMBER(P_CKDATA)*P_SM*P_INTYPE),""),"")</f>
        <v/>
      </c>
      <c r="Z24" s="302" t="str">
        <f>IF(ISNUMBER(Z$10),IFERROR(SUMPRODUCT((P_CKDATE&gt;=Z$10)*(P_CKDATE&lt;Z$10+7)*ISNUMBER(P_CKDATA)*P_SM*P_INTYPE,P_CKDATA)/SUMPRODUCT((P_CKDATE&gt;=Z$10)*(P_CKDATE&lt;Z$10+7)*ISNUMBER(P_CKDATA)*P_SM*P_INTYPE),""),"")</f>
        <v/>
      </c>
      <c r="AA24" s="302" t="str">
        <f>IF(ISNUMBER(AA$10),IFERROR(SUMPRODUCT((P_CKDATE&gt;=AA$10)*(P_CKDATE&lt;AA$10+7)*ISNUMBER(P_CKDATA)*P_SM*P_INTYPE,P_CKDATA)/SUMPRODUCT((P_CKDATE&gt;=AA$10)*(P_CKDATE&lt;AA$10+7)*ISNUMBER(P_CKDATA)*P_SM*P_INTYPE),""),"")</f>
        <v/>
      </c>
      <c r="AB24" s="302" t="str">
        <f>IF(ISNUMBER(AB$10),IFERROR(SUMPRODUCT((P_CKDATE&gt;=AB$10)*(P_CKDATE&lt;AB$10+7)*ISNUMBER(P_CKDATA)*P_SM*P_INTYPE,P_CKDATA)/SUMPRODUCT((P_CKDATE&gt;=AB$10)*(P_CKDATE&lt;AB$10+7)*ISNUMBER(P_CKDATA)*P_SM*P_INTYPE),""),"")</f>
        <v/>
      </c>
      <c r="AC24" s="302" t="str">
        <f>IF(ISNUMBER(AC$10),IFERROR(SUMPRODUCT((P_CKDATE&gt;=AC$10)*(P_CKDATE&lt;AC$10+7)*ISNUMBER(P_CKDATA)*P_SM*P_INTYPE,P_CKDATA)/SUMPRODUCT((P_CKDATE&gt;=AC$10)*(P_CKDATE&lt;AC$10+7)*ISNUMBER(P_CKDATA)*P_SM*P_INTYPE),""),"")</f>
        <v/>
      </c>
      <c r="AD24" s="302" t="str">
        <f>IF(ISNUMBER(AD$10),IFERROR(SUMPRODUCT((P_CKDATE&gt;=AD$10)*(P_CKDATE&lt;AD$10+7)*ISNUMBER(P_CKDATA)*P_SM*P_INTYPE,P_CKDATA)/SUMPRODUCT((P_CKDATE&gt;=AD$10)*(P_CKDATE&lt;AD$10+7)*ISNUMBER(P_CKDATA)*P_SM*P_INTYPE),""),"")</f>
        <v/>
      </c>
      <c r="AE24" s="302" t="str">
        <f>IF(ISNUMBER(AE$10),IFERROR(SUMPRODUCT((P_CKDATE&gt;=AE$10)*(P_CKDATE&lt;AE$10+7)*ISNUMBER(P_CKDATA)*P_SM*P_INTYPE,P_CKDATA)/SUMPRODUCT((P_CKDATE&gt;=AE$10)*(P_CKDATE&lt;AE$10+7)*ISNUMBER(P_CKDATA)*P_SM*P_INTYPE),""),"")</f>
        <v/>
      </c>
      <c r="AF24" s="302" t="str">
        <f>IF(ISNUMBER(AF$10),IFERROR(SUMPRODUCT((P_CKDATE&gt;=AF$10)*(P_CKDATE&lt;AF$10+7)*ISNUMBER(P_CKDATA)*P_SM*P_INTYPE,P_CKDATA)/SUMPRODUCT((P_CKDATE&gt;=AF$10)*(P_CKDATE&lt;AF$10+7)*ISNUMBER(P_CKDATA)*P_SM*P_INTYPE),""),"")</f>
        <v/>
      </c>
      <c r="AG24" s="302" t="str">
        <f>IF(ISNUMBER(AG$10),IFERROR(SUMPRODUCT((P_CKDATE&gt;=AG$10)*(P_CKDATE&lt;AG$10+7)*ISNUMBER(P_CKDATA)*P_SM*P_INTYPE,P_CKDATA)/SUMPRODUCT((P_CKDATE&gt;=AG$10)*(P_CKDATE&lt;AG$10+7)*ISNUMBER(P_CKDATA)*P_SM*P_INTYPE),""),"")</f>
        <v/>
      </c>
      <c r="AH24" s="302" t="str">
        <f>IF(ISNUMBER(AH$10),IFERROR(SUMPRODUCT((P_CKDATE&gt;=AH$10)*(P_CKDATE&lt;AH$10+7)*ISNUMBER(P_CKDATA)*P_SM*P_INTYPE,P_CKDATA)/SUMPRODUCT((P_CKDATE&gt;=AH$10)*(P_CKDATE&lt;AH$10+7)*ISNUMBER(P_CKDATA)*P_SM*P_INTYPE),""),"")</f>
        <v/>
      </c>
      <c r="AI24" s="302" t="str">
        <f>IF(ISNUMBER(AI$10),IFERROR(SUMPRODUCT((P_CKDATE&gt;=AI$10)*(P_CKDATE&lt;AI$10+7)*ISNUMBER(P_CKDATA)*P_SM*P_INTYPE,P_CKDATA)/SUMPRODUCT((P_CKDATE&gt;=AI$10)*(P_CKDATE&lt;AI$10+7)*ISNUMBER(P_CKDATA)*P_SM*P_INTYPE),""),"")</f>
        <v/>
      </c>
    </row>
    <row r="25" spans="2:38" s="187" customFormat="1" x14ac:dyDescent="0.2">
      <c r="B25" s="266"/>
      <c r="C25" s="267" t="s">
        <v>349</v>
      </c>
      <c r="D25" s="301" t="str">
        <f>Monthly!D5</f>
        <v/>
      </c>
      <c r="E25" s="302" t="str">
        <f>IF(ISNUMBER(E$10),IFERROR(SUMPRODUCT((M_CKDATE&gt;=E$10)*(M_CKDATE&lt;E$10+7)*ISNUMBER(M_CKDATA)*M_SM*M_INTYPE,M_CKDATA)/SUMPRODUCT((M_CKDATE&gt;=E$10)*(M_CKDATE&lt;E$10+7)*ISNUMBER(M_CKDATA)*M_SM*M_INTYPE),""),"")</f>
        <v/>
      </c>
      <c r="F25" s="302" t="str">
        <f>IF(ISNUMBER(F$10),IFERROR(SUMPRODUCT((M_CKDATE&gt;=F$10)*(M_CKDATE&lt;F$10+7)*ISNUMBER(M_CKDATA)*M_SM*M_INTYPE,M_CKDATA)/SUMPRODUCT((M_CKDATE&gt;=F$10)*(M_CKDATE&lt;F$10+7)*ISNUMBER(M_CKDATA)*M_SM*M_INTYPE),""),"")</f>
        <v/>
      </c>
      <c r="G25" s="302" t="str">
        <f>IF(ISNUMBER(G$10),IFERROR(SUMPRODUCT((M_CKDATE&gt;=G$10)*(M_CKDATE&lt;G$10+7)*ISNUMBER(M_CKDATA)*M_SM*M_INTYPE,M_CKDATA)/SUMPRODUCT((M_CKDATE&gt;=G$10)*(M_CKDATE&lt;G$10+7)*ISNUMBER(M_CKDATA)*M_SM*M_INTYPE),""),"")</f>
        <v/>
      </c>
      <c r="H25" s="302" t="str">
        <f>IF(ISNUMBER(H$10),IFERROR(SUMPRODUCT((M_CKDATE&gt;=H$10)*(M_CKDATE&lt;H$10+7)*ISNUMBER(M_CKDATA)*M_SM*M_INTYPE,M_CKDATA)/SUMPRODUCT((M_CKDATE&gt;=H$10)*(M_CKDATE&lt;H$10+7)*ISNUMBER(M_CKDATA)*M_SM*M_INTYPE),""),"")</f>
        <v/>
      </c>
      <c r="I25" s="302" t="str">
        <f>IF(ISNUMBER(I$10),IFERROR(SUMPRODUCT((M_CKDATE&gt;=I$10)*(M_CKDATE&lt;I$10+7)*ISNUMBER(M_CKDATA)*M_SM*M_INTYPE,M_CKDATA)/SUMPRODUCT((M_CKDATE&gt;=I$10)*(M_CKDATE&lt;I$10+7)*ISNUMBER(M_CKDATA)*M_SM*M_INTYPE),""),"")</f>
        <v/>
      </c>
      <c r="J25" s="302" t="str">
        <f>IF(ISNUMBER(J$10),IFERROR(SUMPRODUCT((M_CKDATE&gt;=J$10)*(M_CKDATE&lt;J$10+7)*ISNUMBER(M_CKDATA)*M_SM*M_INTYPE,M_CKDATA)/SUMPRODUCT((M_CKDATE&gt;=J$10)*(M_CKDATE&lt;J$10+7)*ISNUMBER(M_CKDATA)*M_SM*M_INTYPE),""),"")</f>
        <v/>
      </c>
      <c r="K25" s="302" t="str">
        <f>IF(ISNUMBER(K$10),IFERROR(SUMPRODUCT((M_CKDATE&gt;=K$10)*(M_CKDATE&lt;K$10+7)*ISNUMBER(M_CKDATA)*M_SM*M_INTYPE,M_CKDATA)/SUMPRODUCT((M_CKDATE&gt;=K$10)*(M_CKDATE&lt;K$10+7)*ISNUMBER(M_CKDATA)*M_SM*M_INTYPE),""),"")</f>
        <v/>
      </c>
      <c r="L25" s="302" t="str">
        <f>IF(ISNUMBER(L$10),IFERROR(SUMPRODUCT((M_CKDATE&gt;=L$10)*(M_CKDATE&lt;L$10+7)*ISNUMBER(M_CKDATA)*M_SM*M_INTYPE,M_CKDATA)/SUMPRODUCT((M_CKDATE&gt;=L$10)*(M_CKDATE&lt;L$10+7)*ISNUMBER(M_CKDATA)*M_SM*M_INTYPE),""),"")</f>
        <v/>
      </c>
      <c r="M25" s="302" t="str">
        <f>IF(ISNUMBER(M$10),IFERROR(SUMPRODUCT((M_CKDATE&gt;=M$10)*(M_CKDATE&lt;M$10+7)*ISNUMBER(M_CKDATA)*M_SM*M_INTYPE,M_CKDATA)/SUMPRODUCT((M_CKDATE&gt;=M$10)*(M_CKDATE&lt;M$10+7)*ISNUMBER(M_CKDATA)*M_SM*M_INTYPE),""),"")</f>
        <v/>
      </c>
      <c r="N25" s="302" t="str">
        <f>IF(ISNUMBER(N$10),IFERROR(SUMPRODUCT((M_CKDATE&gt;=N$10)*(M_CKDATE&lt;N$10+7)*ISNUMBER(M_CKDATA)*M_SM*M_INTYPE,M_CKDATA)/SUMPRODUCT((M_CKDATE&gt;=N$10)*(M_CKDATE&lt;N$10+7)*ISNUMBER(M_CKDATA)*M_SM*M_INTYPE),""),"")</f>
        <v/>
      </c>
      <c r="O25" s="302" t="str">
        <f>IF(ISNUMBER(O$10),IFERROR(SUMPRODUCT((M_CKDATE&gt;=O$10)*(M_CKDATE&lt;O$10+7)*ISNUMBER(M_CKDATA)*M_SM*M_INTYPE,M_CKDATA)/SUMPRODUCT((M_CKDATE&gt;=O$10)*(M_CKDATE&lt;O$10+7)*ISNUMBER(M_CKDATA)*M_SM*M_INTYPE),""),"")</f>
        <v/>
      </c>
      <c r="P25" s="302" t="str">
        <f>IF(ISNUMBER(P$10),IFERROR(SUMPRODUCT((M_CKDATE&gt;=P$10)*(M_CKDATE&lt;P$10+7)*ISNUMBER(M_CKDATA)*M_SM*M_INTYPE,M_CKDATA)/SUMPRODUCT((M_CKDATE&gt;=P$10)*(M_CKDATE&lt;P$10+7)*ISNUMBER(M_CKDATA)*M_SM*M_INTYPE),""),"")</f>
        <v/>
      </c>
      <c r="Q25" s="302" t="str">
        <f>IF(ISNUMBER(Q$10),IFERROR(SUMPRODUCT((M_CKDATE&gt;=Q$10)*(M_CKDATE&lt;Q$10+7)*ISNUMBER(M_CKDATA)*M_SM*M_INTYPE,M_CKDATA)/SUMPRODUCT((M_CKDATE&gt;=Q$10)*(M_CKDATE&lt;Q$10+7)*ISNUMBER(M_CKDATA)*M_SM*M_INTYPE),""),"")</f>
        <v/>
      </c>
      <c r="R25" s="302" t="str">
        <f>IF(ISNUMBER(R$10),IFERROR(SUMPRODUCT((M_CKDATE&gt;=R$10)*(M_CKDATE&lt;R$10+7)*ISNUMBER(M_CKDATA)*M_SM*M_INTYPE,M_CKDATA)/SUMPRODUCT((M_CKDATE&gt;=R$10)*(M_CKDATE&lt;R$10+7)*ISNUMBER(M_CKDATA)*M_SM*M_INTYPE),""),"")</f>
        <v/>
      </c>
      <c r="S25" s="302" t="str">
        <f>IF(ISNUMBER(S$10),IFERROR(SUMPRODUCT((M_CKDATE&gt;=S$10)*(M_CKDATE&lt;S$10+7)*ISNUMBER(M_CKDATA)*M_SM*M_INTYPE,M_CKDATA)/SUMPRODUCT((M_CKDATE&gt;=S$10)*(M_CKDATE&lt;S$10+7)*ISNUMBER(M_CKDATA)*M_SM*M_INTYPE),""),"")</f>
        <v/>
      </c>
      <c r="T25" s="302" t="str">
        <f>IF(ISNUMBER(T$10),IFERROR(SUMPRODUCT((M_CKDATE&gt;=T$10)*(M_CKDATE&lt;T$10+7)*ISNUMBER(M_CKDATA)*M_SM*M_INTYPE,M_CKDATA)/SUMPRODUCT((M_CKDATE&gt;=T$10)*(M_CKDATE&lt;T$10+7)*ISNUMBER(M_CKDATA)*M_SM*M_INTYPE),""),"")</f>
        <v/>
      </c>
      <c r="U25" s="302" t="str">
        <f>IF(ISNUMBER(U$10),IFERROR(SUMPRODUCT((M_CKDATE&gt;=U$10)*(M_CKDATE&lt;U$10+7)*ISNUMBER(M_CKDATA)*M_SM*M_INTYPE,M_CKDATA)/SUMPRODUCT((M_CKDATE&gt;=U$10)*(M_CKDATE&lt;U$10+7)*ISNUMBER(M_CKDATA)*M_SM*M_INTYPE),""),"")</f>
        <v/>
      </c>
      <c r="V25" s="302" t="str">
        <f>IF(ISNUMBER(V$10),IFERROR(SUMPRODUCT((M_CKDATE&gt;=V$10)*(M_CKDATE&lt;V$10+7)*ISNUMBER(M_CKDATA)*M_SM*M_INTYPE,M_CKDATA)/SUMPRODUCT((M_CKDATE&gt;=V$10)*(M_CKDATE&lt;V$10+7)*ISNUMBER(M_CKDATA)*M_SM*M_INTYPE),""),"")</f>
        <v/>
      </c>
      <c r="W25" s="302" t="str">
        <f>IF(ISNUMBER(W$10),IFERROR(SUMPRODUCT((M_CKDATE&gt;=W$10)*(M_CKDATE&lt;W$10+7)*ISNUMBER(M_CKDATA)*M_SM*M_INTYPE,M_CKDATA)/SUMPRODUCT((M_CKDATE&gt;=W$10)*(M_CKDATE&lt;W$10+7)*ISNUMBER(M_CKDATA)*M_SM*M_INTYPE),""),"")</f>
        <v/>
      </c>
      <c r="X25" s="302" t="str">
        <f>IF(ISNUMBER(X$10),IFERROR(SUMPRODUCT((M_CKDATE&gt;=X$10)*(M_CKDATE&lt;X$10+7)*ISNUMBER(M_CKDATA)*M_SM*M_INTYPE,M_CKDATA)/SUMPRODUCT((M_CKDATE&gt;=X$10)*(M_CKDATE&lt;X$10+7)*ISNUMBER(M_CKDATA)*M_SM*M_INTYPE),""),"")</f>
        <v/>
      </c>
      <c r="Y25" s="302" t="str">
        <f>IF(ISNUMBER(Y$10),IFERROR(SUMPRODUCT((M_CKDATE&gt;=Y$10)*(M_CKDATE&lt;Y$10+7)*ISNUMBER(M_CKDATA)*M_SM*M_INTYPE,M_CKDATA)/SUMPRODUCT((M_CKDATE&gt;=Y$10)*(M_CKDATE&lt;Y$10+7)*ISNUMBER(M_CKDATA)*M_SM*M_INTYPE),""),"")</f>
        <v/>
      </c>
      <c r="Z25" s="302" t="str">
        <f>IF(ISNUMBER(Z$10),IFERROR(SUMPRODUCT((M_CKDATE&gt;=Z$10)*(M_CKDATE&lt;Z$10+7)*ISNUMBER(M_CKDATA)*M_SM*M_INTYPE,M_CKDATA)/SUMPRODUCT((M_CKDATE&gt;=Z$10)*(M_CKDATE&lt;Z$10+7)*ISNUMBER(M_CKDATA)*M_SM*M_INTYPE),""),"")</f>
        <v/>
      </c>
      <c r="AA25" s="302" t="str">
        <f>IF(ISNUMBER(AA$10),IFERROR(SUMPRODUCT((M_CKDATE&gt;=AA$10)*(M_CKDATE&lt;AA$10+7)*ISNUMBER(M_CKDATA)*M_SM*M_INTYPE,M_CKDATA)/SUMPRODUCT((M_CKDATE&gt;=AA$10)*(M_CKDATE&lt;AA$10+7)*ISNUMBER(M_CKDATA)*M_SM*M_INTYPE),""),"")</f>
        <v/>
      </c>
      <c r="AB25" s="302" t="str">
        <f>IF(ISNUMBER(AB$10),IFERROR(SUMPRODUCT((M_CKDATE&gt;=AB$10)*(M_CKDATE&lt;AB$10+7)*ISNUMBER(M_CKDATA)*M_SM*M_INTYPE,M_CKDATA)/SUMPRODUCT((M_CKDATE&gt;=AB$10)*(M_CKDATE&lt;AB$10+7)*ISNUMBER(M_CKDATA)*M_SM*M_INTYPE),""),"")</f>
        <v/>
      </c>
      <c r="AC25" s="302" t="str">
        <f>IF(ISNUMBER(AC$10),IFERROR(SUMPRODUCT((M_CKDATE&gt;=AC$10)*(M_CKDATE&lt;AC$10+7)*ISNUMBER(M_CKDATA)*M_SM*M_INTYPE,M_CKDATA)/SUMPRODUCT((M_CKDATE&gt;=AC$10)*(M_CKDATE&lt;AC$10+7)*ISNUMBER(M_CKDATA)*M_SM*M_INTYPE),""),"")</f>
        <v/>
      </c>
      <c r="AD25" s="302" t="str">
        <f>IF(ISNUMBER(AD$10),IFERROR(SUMPRODUCT((M_CKDATE&gt;=AD$10)*(M_CKDATE&lt;AD$10+7)*ISNUMBER(M_CKDATA)*M_SM*M_INTYPE,M_CKDATA)/SUMPRODUCT((M_CKDATE&gt;=AD$10)*(M_CKDATE&lt;AD$10+7)*ISNUMBER(M_CKDATA)*M_SM*M_INTYPE),""),"")</f>
        <v/>
      </c>
      <c r="AE25" s="302" t="str">
        <f>IF(ISNUMBER(AE$10),IFERROR(SUMPRODUCT((M_CKDATE&gt;=AE$10)*(M_CKDATE&lt;AE$10+7)*ISNUMBER(M_CKDATA)*M_SM*M_INTYPE,M_CKDATA)/SUMPRODUCT((M_CKDATE&gt;=AE$10)*(M_CKDATE&lt;AE$10+7)*ISNUMBER(M_CKDATA)*M_SM*M_INTYPE),""),"")</f>
        <v/>
      </c>
      <c r="AF25" s="302" t="str">
        <f>IF(ISNUMBER(AF$10),IFERROR(SUMPRODUCT((M_CKDATE&gt;=AF$10)*(M_CKDATE&lt;AF$10+7)*ISNUMBER(M_CKDATA)*M_SM*M_INTYPE,M_CKDATA)/SUMPRODUCT((M_CKDATE&gt;=AF$10)*(M_CKDATE&lt;AF$10+7)*ISNUMBER(M_CKDATA)*M_SM*M_INTYPE),""),"")</f>
        <v/>
      </c>
      <c r="AG25" s="302" t="str">
        <f>IF(ISNUMBER(AG$10),IFERROR(SUMPRODUCT((M_CKDATE&gt;=AG$10)*(M_CKDATE&lt;AG$10+7)*ISNUMBER(M_CKDATA)*M_SM*M_INTYPE,M_CKDATA)/SUMPRODUCT((M_CKDATE&gt;=AG$10)*(M_CKDATE&lt;AG$10+7)*ISNUMBER(M_CKDATA)*M_SM*M_INTYPE),""),"")</f>
        <v/>
      </c>
      <c r="AH25" s="302" t="str">
        <f>IF(ISNUMBER(AH$10),IFERROR(SUMPRODUCT((M_CKDATE&gt;=AH$10)*(M_CKDATE&lt;AH$10+7)*ISNUMBER(M_CKDATA)*M_SM*M_INTYPE,M_CKDATA)/SUMPRODUCT((M_CKDATE&gt;=AH$10)*(M_CKDATE&lt;AH$10+7)*ISNUMBER(M_CKDATA)*M_SM*M_INTYPE),""),"")</f>
        <v/>
      </c>
      <c r="AI25" s="302" t="str">
        <f>IF(ISNUMBER(AI$10),IFERROR(SUMPRODUCT((M_CKDATE&gt;=AI$10)*(M_CKDATE&lt;AI$10+7)*ISNUMBER(M_CKDATA)*M_SM*M_INTYPE,M_CKDATA)/SUMPRODUCT((M_CKDATE&gt;=AI$10)*(M_CKDATE&lt;AI$10+7)*ISNUMBER(M_CKDATA)*M_SM*M_INTYPE),""),"")</f>
        <v/>
      </c>
    </row>
    <row r="26" spans="2:38" s="187" customFormat="1" x14ac:dyDescent="0.2">
      <c r="B26" s="266"/>
      <c r="C26" s="267" t="s">
        <v>342</v>
      </c>
      <c r="D26" s="301" t="str">
        <f>Weekly!D5</f>
        <v/>
      </c>
      <c r="E26" s="302" t="str">
        <f>IF(ISNUMBER(E$10),IFERROR(SUMPRODUCT((W_CKDATE&gt;=E$10)*(W_CKDATE&lt;E$10+7)*ISNUMBER(W_CKDATA)*W_SM*W_INTYPE,W_CKDATA)/SUMPRODUCT((W_CKDATE&gt;=E$10)*(W_CKDATE&lt;E$10+7)*ISNUMBER(W_CKDATA)*W_SM*W_INTYPE),""),"")</f>
        <v/>
      </c>
      <c r="F26" s="302" t="str">
        <f>IF(ISNUMBER(F$10),IFERROR(SUMPRODUCT((W_CKDATE&gt;=F$10)*(W_CKDATE&lt;F$10+7)*ISNUMBER(W_CKDATA)*W_SM*W_INTYPE,W_CKDATA)/SUMPRODUCT((W_CKDATE&gt;=F$10)*(W_CKDATE&lt;F$10+7)*ISNUMBER(W_CKDATA)*W_SM*W_INTYPE),""),"")</f>
        <v/>
      </c>
      <c r="G26" s="302" t="str">
        <f>IF(ISNUMBER(G$10),IFERROR(SUMPRODUCT((W_CKDATE&gt;=G$10)*(W_CKDATE&lt;G$10+7)*ISNUMBER(W_CKDATA)*W_SM*W_INTYPE,W_CKDATA)/SUMPRODUCT((W_CKDATE&gt;=G$10)*(W_CKDATE&lt;G$10+7)*ISNUMBER(W_CKDATA)*W_SM*W_INTYPE),""),"")</f>
        <v/>
      </c>
      <c r="H26" s="302" t="str">
        <f>IF(ISNUMBER(H$10),IFERROR(SUMPRODUCT((W_CKDATE&gt;=H$10)*(W_CKDATE&lt;H$10+7)*ISNUMBER(W_CKDATA)*W_SM*W_INTYPE,W_CKDATA)/SUMPRODUCT((W_CKDATE&gt;=H$10)*(W_CKDATE&lt;H$10+7)*ISNUMBER(W_CKDATA)*W_SM*W_INTYPE),""),"")</f>
        <v/>
      </c>
      <c r="I26" s="302" t="str">
        <f>IF(ISNUMBER(I$10),IFERROR(SUMPRODUCT((W_CKDATE&gt;=I$10)*(W_CKDATE&lt;I$10+7)*ISNUMBER(W_CKDATA)*W_SM*W_INTYPE,W_CKDATA)/SUMPRODUCT((W_CKDATE&gt;=I$10)*(W_CKDATE&lt;I$10+7)*ISNUMBER(W_CKDATA)*W_SM*W_INTYPE),""),"")</f>
        <v/>
      </c>
      <c r="J26" s="302" t="str">
        <f>IF(ISNUMBER(J$10),IFERROR(SUMPRODUCT((W_CKDATE&gt;=J$10)*(W_CKDATE&lt;J$10+7)*ISNUMBER(W_CKDATA)*W_SM*W_INTYPE,W_CKDATA)/SUMPRODUCT((W_CKDATE&gt;=J$10)*(W_CKDATE&lt;J$10+7)*ISNUMBER(W_CKDATA)*W_SM*W_INTYPE),""),"")</f>
        <v/>
      </c>
      <c r="K26" s="302" t="str">
        <f>IF(ISNUMBER(K$10),IFERROR(SUMPRODUCT((W_CKDATE&gt;=K$10)*(W_CKDATE&lt;K$10+7)*ISNUMBER(W_CKDATA)*W_SM*W_INTYPE,W_CKDATA)/SUMPRODUCT((W_CKDATE&gt;=K$10)*(W_CKDATE&lt;K$10+7)*ISNUMBER(W_CKDATA)*W_SM*W_INTYPE),""),"")</f>
        <v/>
      </c>
      <c r="L26" s="302" t="str">
        <f>IF(ISNUMBER(L$10),IFERROR(SUMPRODUCT((W_CKDATE&gt;=L$10)*(W_CKDATE&lt;L$10+7)*ISNUMBER(W_CKDATA)*W_SM*W_INTYPE,W_CKDATA)/SUMPRODUCT((W_CKDATE&gt;=L$10)*(W_CKDATE&lt;L$10+7)*ISNUMBER(W_CKDATA)*W_SM*W_INTYPE),""),"")</f>
        <v/>
      </c>
      <c r="M26" s="302" t="str">
        <f>IF(ISNUMBER(M$10),IFERROR(SUMPRODUCT((W_CKDATE&gt;=M$10)*(W_CKDATE&lt;M$10+7)*ISNUMBER(W_CKDATA)*W_SM*W_INTYPE,W_CKDATA)/SUMPRODUCT((W_CKDATE&gt;=M$10)*(W_CKDATE&lt;M$10+7)*ISNUMBER(W_CKDATA)*W_SM*W_INTYPE),""),"")</f>
        <v/>
      </c>
      <c r="N26" s="302" t="str">
        <f>IF(ISNUMBER(N$10),IFERROR(SUMPRODUCT((W_CKDATE&gt;=N$10)*(W_CKDATE&lt;N$10+7)*ISNUMBER(W_CKDATA)*W_SM*W_INTYPE,W_CKDATA)/SUMPRODUCT((W_CKDATE&gt;=N$10)*(W_CKDATE&lt;N$10+7)*ISNUMBER(W_CKDATA)*W_SM*W_INTYPE),""),"")</f>
        <v/>
      </c>
      <c r="O26" s="302" t="str">
        <f>IF(ISNUMBER(O$10),IFERROR(SUMPRODUCT((W_CKDATE&gt;=O$10)*(W_CKDATE&lt;O$10+7)*ISNUMBER(W_CKDATA)*W_SM*W_INTYPE,W_CKDATA)/SUMPRODUCT((W_CKDATE&gt;=O$10)*(W_CKDATE&lt;O$10+7)*ISNUMBER(W_CKDATA)*W_SM*W_INTYPE),""),"")</f>
        <v/>
      </c>
      <c r="P26" s="302" t="str">
        <f>IF(ISNUMBER(P$10),IFERROR(SUMPRODUCT((W_CKDATE&gt;=P$10)*(W_CKDATE&lt;P$10+7)*ISNUMBER(W_CKDATA)*W_SM*W_INTYPE,W_CKDATA)/SUMPRODUCT((W_CKDATE&gt;=P$10)*(W_CKDATE&lt;P$10+7)*ISNUMBER(W_CKDATA)*W_SM*W_INTYPE),""),"")</f>
        <v/>
      </c>
      <c r="Q26" s="302" t="str">
        <f>IF(ISNUMBER(Q$10),IFERROR(SUMPRODUCT((W_CKDATE&gt;=Q$10)*(W_CKDATE&lt;Q$10+7)*ISNUMBER(W_CKDATA)*W_SM*W_INTYPE,W_CKDATA)/SUMPRODUCT((W_CKDATE&gt;=Q$10)*(W_CKDATE&lt;Q$10+7)*ISNUMBER(W_CKDATA)*W_SM*W_INTYPE),""),"")</f>
        <v/>
      </c>
      <c r="R26" s="302" t="str">
        <f>IF(ISNUMBER(R$10),IFERROR(SUMPRODUCT((W_CKDATE&gt;=R$10)*(W_CKDATE&lt;R$10+7)*ISNUMBER(W_CKDATA)*W_SM*W_INTYPE,W_CKDATA)/SUMPRODUCT((W_CKDATE&gt;=R$10)*(W_CKDATE&lt;R$10+7)*ISNUMBER(W_CKDATA)*W_SM*W_INTYPE),""),"")</f>
        <v/>
      </c>
      <c r="S26" s="302" t="str">
        <f>IF(ISNUMBER(S$10),IFERROR(SUMPRODUCT((W_CKDATE&gt;=S$10)*(W_CKDATE&lt;S$10+7)*ISNUMBER(W_CKDATA)*W_SM*W_INTYPE,W_CKDATA)/SUMPRODUCT((W_CKDATE&gt;=S$10)*(W_CKDATE&lt;S$10+7)*ISNUMBER(W_CKDATA)*W_SM*W_INTYPE),""),"")</f>
        <v/>
      </c>
      <c r="T26" s="302" t="str">
        <f>IF(ISNUMBER(T$10),IFERROR(SUMPRODUCT((W_CKDATE&gt;=T$10)*(W_CKDATE&lt;T$10+7)*ISNUMBER(W_CKDATA)*W_SM*W_INTYPE,W_CKDATA)/SUMPRODUCT((W_CKDATE&gt;=T$10)*(W_CKDATE&lt;T$10+7)*ISNUMBER(W_CKDATA)*W_SM*W_INTYPE),""),"")</f>
        <v/>
      </c>
      <c r="U26" s="302" t="str">
        <f>IF(ISNUMBER(U$10),IFERROR(SUMPRODUCT((W_CKDATE&gt;=U$10)*(W_CKDATE&lt;U$10+7)*ISNUMBER(W_CKDATA)*W_SM*W_INTYPE,W_CKDATA)/SUMPRODUCT((W_CKDATE&gt;=U$10)*(W_CKDATE&lt;U$10+7)*ISNUMBER(W_CKDATA)*W_SM*W_INTYPE),""),"")</f>
        <v/>
      </c>
      <c r="V26" s="302" t="str">
        <f>IF(ISNUMBER(V$10),IFERROR(SUMPRODUCT((W_CKDATE&gt;=V$10)*(W_CKDATE&lt;V$10+7)*ISNUMBER(W_CKDATA)*W_SM*W_INTYPE,W_CKDATA)/SUMPRODUCT((W_CKDATE&gt;=V$10)*(W_CKDATE&lt;V$10+7)*ISNUMBER(W_CKDATA)*W_SM*W_INTYPE),""),"")</f>
        <v/>
      </c>
      <c r="W26" s="302" t="str">
        <f>IF(ISNUMBER(W$10),IFERROR(SUMPRODUCT((W_CKDATE&gt;=W$10)*(W_CKDATE&lt;W$10+7)*ISNUMBER(W_CKDATA)*W_SM*W_INTYPE,W_CKDATA)/SUMPRODUCT((W_CKDATE&gt;=W$10)*(W_CKDATE&lt;W$10+7)*ISNUMBER(W_CKDATA)*W_SM*W_INTYPE),""),"")</f>
        <v/>
      </c>
      <c r="X26" s="302" t="str">
        <f>IF(ISNUMBER(X$10),IFERROR(SUMPRODUCT((W_CKDATE&gt;=X$10)*(W_CKDATE&lt;X$10+7)*ISNUMBER(W_CKDATA)*W_SM*W_INTYPE,W_CKDATA)/SUMPRODUCT((W_CKDATE&gt;=X$10)*(W_CKDATE&lt;X$10+7)*ISNUMBER(W_CKDATA)*W_SM*W_INTYPE),""),"")</f>
        <v/>
      </c>
      <c r="Y26" s="302" t="str">
        <f>IF(ISNUMBER(Y$10),IFERROR(SUMPRODUCT((W_CKDATE&gt;=Y$10)*(W_CKDATE&lt;Y$10+7)*ISNUMBER(W_CKDATA)*W_SM*W_INTYPE,W_CKDATA)/SUMPRODUCT((W_CKDATE&gt;=Y$10)*(W_CKDATE&lt;Y$10+7)*ISNUMBER(W_CKDATA)*W_SM*W_INTYPE),""),"")</f>
        <v/>
      </c>
      <c r="Z26" s="302" t="str">
        <f>IF(ISNUMBER(Z$10),IFERROR(SUMPRODUCT((W_CKDATE&gt;=Z$10)*(W_CKDATE&lt;Z$10+7)*ISNUMBER(W_CKDATA)*W_SM*W_INTYPE,W_CKDATA)/SUMPRODUCT((W_CKDATE&gt;=Z$10)*(W_CKDATE&lt;Z$10+7)*ISNUMBER(W_CKDATA)*W_SM*W_INTYPE),""),"")</f>
        <v/>
      </c>
      <c r="AA26" s="302" t="str">
        <f>IF(ISNUMBER(AA$10),IFERROR(SUMPRODUCT((W_CKDATE&gt;=AA$10)*(W_CKDATE&lt;AA$10+7)*ISNUMBER(W_CKDATA)*W_SM*W_INTYPE,W_CKDATA)/SUMPRODUCT((W_CKDATE&gt;=AA$10)*(W_CKDATE&lt;AA$10+7)*ISNUMBER(W_CKDATA)*W_SM*W_INTYPE),""),"")</f>
        <v/>
      </c>
      <c r="AB26" s="302" t="str">
        <f>IF(ISNUMBER(AB$10),IFERROR(SUMPRODUCT((W_CKDATE&gt;=AB$10)*(W_CKDATE&lt;AB$10+7)*ISNUMBER(W_CKDATA)*W_SM*W_INTYPE,W_CKDATA)/SUMPRODUCT((W_CKDATE&gt;=AB$10)*(W_CKDATE&lt;AB$10+7)*ISNUMBER(W_CKDATA)*W_SM*W_INTYPE),""),"")</f>
        <v/>
      </c>
      <c r="AC26" s="302" t="str">
        <f>IF(ISNUMBER(AC$10),IFERROR(SUMPRODUCT((W_CKDATE&gt;=AC$10)*(W_CKDATE&lt;AC$10+7)*ISNUMBER(W_CKDATA)*W_SM*W_INTYPE,W_CKDATA)/SUMPRODUCT((W_CKDATE&gt;=AC$10)*(W_CKDATE&lt;AC$10+7)*ISNUMBER(W_CKDATA)*W_SM*W_INTYPE),""),"")</f>
        <v/>
      </c>
      <c r="AD26" s="302" t="str">
        <f>IF(ISNUMBER(AD$10),IFERROR(SUMPRODUCT((W_CKDATE&gt;=AD$10)*(W_CKDATE&lt;AD$10+7)*ISNUMBER(W_CKDATA)*W_SM*W_INTYPE,W_CKDATA)/SUMPRODUCT((W_CKDATE&gt;=AD$10)*(W_CKDATE&lt;AD$10+7)*ISNUMBER(W_CKDATA)*W_SM*W_INTYPE),""),"")</f>
        <v/>
      </c>
      <c r="AE26" s="302" t="str">
        <f>IF(ISNUMBER(AE$10),IFERROR(SUMPRODUCT((W_CKDATE&gt;=AE$10)*(W_CKDATE&lt;AE$10+7)*ISNUMBER(W_CKDATA)*W_SM*W_INTYPE,W_CKDATA)/SUMPRODUCT((W_CKDATE&gt;=AE$10)*(W_CKDATE&lt;AE$10+7)*ISNUMBER(W_CKDATA)*W_SM*W_INTYPE),""),"")</f>
        <v/>
      </c>
      <c r="AF26" s="302" t="str">
        <f>IF(ISNUMBER(AF$10),IFERROR(SUMPRODUCT((W_CKDATE&gt;=AF$10)*(W_CKDATE&lt;AF$10+7)*ISNUMBER(W_CKDATA)*W_SM*W_INTYPE,W_CKDATA)/SUMPRODUCT((W_CKDATE&gt;=AF$10)*(W_CKDATE&lt;AF$10+7)*ISNUMBER(W_CKDATA)*W_SM*W_INTYPE),""),"")</f>
        <v/>
      </c>
      <c r="AG26" s="302" t="str">
        <f>IF(ISNUMBER(AG$10),IFERROR(SUMPRODUCT((W_CKDATE&gt;=AG$10)*(W_CKDATE&lt;AG$10+7)*ISNUMBER(W_CKDATA)*W_SM*W_INTYPE,W_CKDATA)/SUMPRODUCT((W_CKDATE&gt;=AG$10)*(W_CKDATE&lt;AG$10+7)*ISNUMBER(W_CKDATA)*W_SM*W_INTYPE),""),"")</f>
        <v/>
      </c>
      <c r="AH26" s="302" t="str">
        <f>IF(ISNUMBER(AH$10),IFERROR(SUMPRODUCT((W_CKDATE&gt;=AH$10)*(W_CKDATE&lt;AH$10+7)*ISNUMBER(W_CKDATA)*W_SM*W_INTYPE,W_CKDATA)/SUMPRODUCT((W_CKDATE&gt;=AH$10)*(W_CKDATE&lt;AH$10+7)*ISNUMBER(W_CKDATA)*W_SM*W_INTYPE),""),"")</f>
        <v/>
      </c>
      <c r="AI26" s="302" t="str">
        <f>IF(ISNUMBER(AI$10),IFERROR(SUMPRODUCT((W_CKDATE&gt;=AI$10)*(W_CKDATE&lt;AI$10+7)*ISNUMBER(W_CKDATA)*W_SM*W_INTYPE,W_CKDATA)/SUMPRODUCT((W_CKDATE&gt;=AI$10)*(W_CKDATE&lt;AI$10+7)*ISNUMBER(W_CKDATA)*W_SM*W_INTYPE),""),"")</f>
        <v/>
      </c>
    </row>
    <row r="27" spans="2:38" s="187" customFormat="1" x14ac:dyDescent="0.2">
      <c r="B27" s="266"/>
      <c r="C27" s="267" t="s">
        <v>359</v>
      </c>
      <c r="D27" s="301" t="str">
        <f>Baseline!D5</f>
        <v/>
      </c>
      <c r="E27" s="302" t="str">
        <f>IF(ISNUMBER(E$10),IFERROR(SUMPRODUCT((B_CKDATE&gt;=E$10)*(B_CKDATE&lt;E$10+7)*ISNUMBER(B_CKDATA)*B_SM*B_INTYPE,B_CKDATA)/SUMPRODUCT((B_CKDATE&gt;=E$10)*(B_CKDATE&lt;E$10+7)*ISNUMBER(B_CKDATA)*B_SM*B_INTYPE),""),"")</f>
        <v/>
      </c>
      <c r="F27" s="302" t="str">
        <f>IF(ISNUMBER(F$10),IFERROR(SUMPRODUCT((B_CKDATE&gt;=F$10)*(B_CKDATE&lt;F$10+7)*ISNUMBER(B_CKDATA)*B_SM*B_INTYPE,B_CKDATA)/SUMPRODUCT((B_CKDATE&gt;=F$10)*(B_CKDATE&lt;F$10+7)*ISNUMBER(B_CKDATA)*B_SM*B_INTYPE),""),"")</f>
        <v/>
      </c>
      <c r="G27" s="302" t="str">
        <f>IF(ISNUMBER(G$10),IFERROR(SUMPRODUCT((B_CKDATE&gt;=G$10)*(B_CKDATE&lt;G$10+7)*ISNUMBER(B_CKDATA)*B_SM*B_INTYPE,B_CKDATA)/SUMPRODUCT((B_CKDATE&gt;=G$10)*(B_CKDATE&lt;G$10+7)*ISNUMBER(B_CKDATA)*B_SM*B_INTYPE),""),"")</f>
        <v/>
      </c>
      <c r="H27" s="302" t="str">
        <f>IF(ISNUMBER(H$10),IFERROR(SUMPRODUCT((B_CKDATE&gt;=H$10)*(B_CKDATE&lt;H$10+7)*ISNUMBER(B_CKDATA)*B_SM*B_INTYPE,B_CKDATA)/SUMPRODUCT((B_CKDATE&gt;=H$10)*(B_CKDATE&lt;H$10+7)*ISNUMBER(B_CKDATA)*B_SM*B_INTYPE),""),"")</f>
        <v/>
      </c>
      <c r="I27" s="302" t="str">
        <f>IF(ISNUMBER(I$10),IFERROR(SUMPRODUCT((B_CKDATE&gt;=I$10)*(B_CKDATE&lt;I$10+7)*ISNUMBER(B_CKDATA)*B_SM*B_INTYPE,B_CKDATA)/SUMPRODUCT((B_CKDATE&gt;=I$10)*(B_CKDATE&lt;I$10+7)*ISNUMBER(B_CKDATA)*B_SM*B_INTYPE),""),"")</f>
        <v/>
      </c>
      <c r="J27" s="302" t="str">
        <f>IF(ISNUMBER(J$10),IFERROR(SUMPRODUCT((B_CKDATE&gt;=J$10)*(B_CKDATE&lt;J$10+7)*ISNUMBER(B_CKDATA)*B_SM*B_INTYPE,B_CKDATA)/SUMPRODUCT((B_CKDATE&gt;=J$10)*(B_CKDATE&lt;J$10+7)*ISNUMBER(B_CKDATA)*B_SM*B_INTYPE),""),"")</f>
        <v/>
      </c>
      <c r="K27" s="302" t="str">
        <f>IF(ISNUMBER(K$10),IFERROR(SUMPRODUCT((B_CKDATE&gt;=K$10)*(B_CKDATE&lt;K$10+7)*ISNUMBER(B_CKDATA)*B_SM*B_INTYPE,B_CKDATA)/SUMPRODUCT((B_CKDATE&gt;=K$10)*(B_CKDATE&lt;K$10+7)*ISNUMBER(B_CKDATA)*B_SM*B_INTYPE),""),"")</f>
        <v/>
      </c>
      <c r="L27" s="302" t="str">
        <f>IF(ISNUMBER(L$10),IFERROR(SUMPRODUCT((B_CKDATE&gt;=L$10)*(B_CKDATE&lt;L$10+7)*ISNUMBER(B_CKDATA)*B_SM*B_INTYPE,B_CKDATA)/SUMPRODUCT((B_CKDATE&gt;=L$10)*(B_CKDATE&lt;L$10+7)*ISNUMBER(B_CKDATA)*B_SM*B_INTYPE),""),"")</f>
        <v/>
      </c>
      <c r="M27" s="302" t="str">
        <f>IF(ISNUMBER(M$10),IFERROR(SUMPRODUCT((B_CKDATE&gt;=M$10)*(B_CKDATE&lt;M$10+7)*ISNUMBER(B_CKDATA)*B_SM*B_INTYPE,B_CKDATA)/SUMPRODUCT((B_CKDATE&gt;=M$10)*(B_CKDATE&lt;M$10+7)*ISNUMBER(B_CKDATA)*B_SM*B_INTYPE),""),"")</f>
        <v/>
      </c>
      <c r="N27" s="302" t="str">
        <f>IF(ISNUMBER(N$10),IFERROR(SUMPRODUCT((B_CKDATE&gt;=N$10)*(B_CKDATE&lt;N$10+7)*ISNUMBER(B_CKDATA)*B_SM*B_INTYPE,B_CKDATA)/SUMPRODUCT((B_CKDATE&gt;=N$10)*(B_CKDATE&lt;N$10+7)*ISNUMBER(B_CKDATA)*B_SM*B_INTYPE),""),"")</f>
        <v/>
      </c>
      <c r="O27" s="302" t="str">
        <f>IF(ISNUMBER(O$10),IFERROR(SUMPRODUCT((B_CKDATE&gt;=O$10)*(B_CKDATE&lt;O$10+7)*ISNUMBER(B_CKDATA)*B_SM*B_INTYPE,B_CKDATA)/SUMPRODUCT((B_CKDATE&gt;=O$10)*(B_CKDATE&lt;O$10+7)*ISNUMBER(B_CKDATA)*B_SM*B_INTYPE),""),"")</f>
        <v/>
      </c>
      <c r="P27" s="302" t="str">
        <f>IF(ISNUMBER(P$10),IFERROR(SUMPRODUCT((B_CKDATE&gt;=P$10)*(B_CKDATE&lt;P$10+7)*ISNUMBER(B_CKDATA)*B_SM*B_INTYPE,B_CKDATA)/SUMPRODUCT((B_CKDATE&gt;=P$10)*(B_CKDATE&lt;P$10+7)*ISNUMBER(B_CKDATA)*B_SM*B_INTYPE),""),"")</f>
        <v/>
      </c>
      <c r="Q27" s="302" t="str">
        <f>IF(ISNUMBER(Q$10),IFERROR(SUMPRODUCT((B_CKDATE&gt;=Q$10)*(B_CKDATE&lt;Q$10+7)*ISNUMBER(B_CKDATA)*B_SM*B_INTYPE,B_CKDATA)/SUMPRODUCT((B_CKDATE&gt;=Q$10)*(B_CKDATE&lt;Q$10+7)*ISNUMBER(B_CKDATA)*B_SM*B_INTYPE),""),"")</f>
        <v/>
      </c>
      <c r="R27" s="302" t="str">
        <f>IF(ISNUMBER(R$10),IFERROR(SUMPRODUCT((B_CKDATE&gt;=R$10)*(B_CKDATE&lt;R$10+7)*ISNUMBER(B_CKDATA)*B_SM*B_INTYPE,B_CKDATA)/SUMPRODUCT((B_CKDATE&gt;=R$10)*(B_CKDATE&lt;R$10+7)*ISNUMBER(B_CKDATA)*B_SM*B_INTYPE),""),"")</f>
        <v/>
      </c>
      <c r="S27" s="302" t="str">
        <f>IF(ISNUMBER(S$10),IFERROR(SUMPRODUCT((B_CKDATE&gt;=S$10)*(B_CKDATE&lt;S$10+7)*ISNUMBER(B_CKDATA)*B_SM*B_INTYPE,B_CKDATA)/SUMPRODUCT((B_CKDATE&gt;=S$10)*(B_CKDATE&lt;S$10+7)*ISNUMBER(B_CKDATA)*B_SM*B_INTYPE),""),"")</f>
        <v/>
      </c>
      <c r="T27" s="302" t="str">
        <f>IF(ISNUMBER(T$10),IFERROR(SUMPRODUCT((B_CKDATE&gt;=T$10)*(B_CKDATE&lt;T$10+7)*ISNUMBER(B_CKDATA)*B_SM*B_INTYPE,B_CKDATA)/SUMPRODUCT((B_CKDATE&gt;=T$10)*(B_CKDATE&lt;T$10+7)*ISNUMBER(B_CKDATA)*B_SM*B_INTYPE),""),"")</f>
        <v/>
      </c>
      <c r="U27" s="302" t="str">
        <f>IF(ISNUMBER(U$10),IFERROR(SUMPRODUCT((B_CKDATE&gt;=U$10)*(B_CKDATE&lt;U$10+7)*ISNUMBER(B_CKDATA)*B_SM*B_INTYPE,B_CKDATA)/SUMPRODUCT((B_CKDATE&gt;=U$10)*(B_CKDATE&lt;U$10+7)*ISNUMBER(B_CKDATA)*B_SM*B_INTYPE),""),"")</f>
        <v/>
      </c>
      <c r="V27" s="302" t="str">
        <f>IF(ISNUMBER(V$10),IFERROR(SUMPRODUCT((B_CKDATE&gt;=V$10)*(B_CKDATE&lt;V$10+7)*ISNUMBER(B_CKDATA)*B_SM*B_INTYPE,B_CKDATA)/SUMPRODUCT((B_CKDATE&gt;=V$10)*(B_CKDATE&lt;V$10+7)*ISNUMBER(B_CKDATA)*B_SM*B_INTYPE),""),"")</f>
        <v/>
      </c>
      <c r="W27" s="302" t="str">
        <f>IF(ISNUMBER(W$10),IFERROR(SUMPRODUCT((B_CKDATE&gt;=W$10)*(B_CKDATE&lt;W$10+7)*ISNUMBER(B_CKDATA)*B_SM*B_INTYPE,B_CKDATA)/SUMPRODUCT((B_CKDATE&gt;=W$10)*(B_CKDATE&lt;W$10+7)*ISNUMBER(B_CKDATA)*B_SM*B_INTYPE),""),"")</f>
        <v/>
      </c>
      <c r="X27" s="302" t="str">
        <f>IF(ISNUMBER(X$10),IFERROR(SUMPRODUCT((B_CKDATE&gt;=X$10)*(B_CKDATE&lt;X$10+7)*ISNUMBER(B_CKDATA)*B_SM*B_INTYPE,B_CKDATA)/SUMPRODUCT((B_CKDATE&gt;=X$10)*(B_CKDATE&lt;X$10+7)*ISNUMBER(B_CKDATA)*B_SM*B_INTYPE),""),"")</f>
        <v/>
      </c>
      <c r="Y27" s="302" t="str">
        <f>IF(ISNUMBER(Y$10),IFERROR(SUMPRODUCT((B_CKDATE&gt;=Y$10)*(B_CKDATE&lt;Y$10+7)*ISNUMBER(B_CKDATA)*B_SM*B_INTYPE,B_CKDATA)/SUMPRODUCT((B_CKDATE&gt;=Y$10)*(B_CKDATE&lt;Y$10+7)*ISNUMBER(B_CKDATA)*B_SM*B_INTYPE),""),"")</f>
        <v/>
      </c>
      <c r="Z27" s="302" t="str">
        <f>IF(ISNUMBER(Z$10),IFERROR(SUMPRODUCT((B_CKDATE&gt;=Z$10)*(B_CKDATE&lt;Z$10+7)*ISNUMBER(B_CKDATA)*B_SM*B_INTYPE,B_CKDATA)/SUMPRODUCT((B_CKDATE&gt;=Z$10)*(B_CKDATE&lt;Z$10+7)*ISNUMBER(B_CKDATA)*B_SM*B_INTYPE),""),"")</f>
        <v/>
      </c>
      <c r="AA27" s="302" t="str">
        <f>IF(ISNUMBER(AA$10),IFERROR(SUMPRODUCT((B_CKDATE&gt;=AA$10)*(B_CKDATE&lt;AA$10+7)*ISNUMBER(B_CKDATA)*B_SM*B_INTYPE,B_CKDATA)/SUMPRODUCT((B_CKDATE&gt;=AA$10)*(B_CKDATE&lt;AA$10+7)*ISNUMBER(B_CKDATA)*B_SM*B_INTYPE),""),"")</f>
        <v/>
      </c>
      <c r="AB27" s="302" t="str">
        <f>IF(ISNUMBER(AB$10),IFERROR(SUMPRODUCT((B_CKDATE&gt;=AB$10)*(B_CKDATE&lt;AB$10+7)*ISNUMBER(B_CKDATA)*B_SM*B_INTYPE,B_CKDATA)/SUMPRODUCT((B_CKDATE&gt;=AB$10)*(B_CKDATE&lt;AB$10+7)*ISNUMBER(B_CKDATA)*B_SM*B_INTYPE),""),"")</f>
        <v/>
      </c>
      <c r="AC27" s="302" t="str">
        <f>IF(ISNUMBER(AC$10),IFERROR(SUMPRODUCT((B_CKDATE&gt;=AC$10)*(B_CKDATE&lt;AC$10+7)*ISNUMBER(B_CKDATA)*B_SM*B_INTYPE,B_CKDATA)/SUMPRODUCT((B_CKDATE&gt;=AC$10)*(B_CKDATE&lt;AC$10+7)*ISNUMBER(B_CKDATA)*B_SM*B_INTYPE),""),"")</f>
        <v/>
      </c>
      <c r="AD27" s="302" t="str">
        <f>IF(ISNUMBER(AD$10),IFERROR(SUMPRODUCT((B_CKDATE&gt;=AD$10)*(B_CKDATE&lt;AD$10+7)*ISNUMBER(B_CKDATA)*B_SM*B_INTYPE,B_CKDATA)/SUMPRODUCT((B_CKDATE&gt;=AD$10)*(B_CKDATE&lt;AD$10+7)*ISNUMBER(B_CKDATA)*B_SM*B_INTYPE),""),"")</f>
        <v/>
      </c>
      <c r="AE27" s="302" t="str">
        <f>IF(ISNUMBER(AE$10),IFERROR(SUMPRODUCT((B_CKDATE&gt;=AE$10)*(B_CKDATE&lt;AE$10+7)*ISNUMBER(B_CKDATA)*B_SM*B_INTYPE,B_CKDATA)/SUMPRODUCT((B_CKDATE&gt;=AE$10)*(B_CKDATE&lt;AE$10+7)*ISNUMBER(B_CKDATA)*B_SM*B_INTYPE),""),"")</f>
        <v/>
      </c>
      <c r="AF27" s="302" t="str">
        <f>IF(ISNUMBER(AF$10),IFERROR(SUMPRODUCT((B_CKDATE&gt;=AF$10)*(B_CKDATE&lt;AF$10+7)*ISNUMBER(B_CKDATA)*B_SM*B_INTYPE,B_CKDATA)/SUMPRODUCT((B_CKDATE&gt;=AF$10)*(B_CKDATE&lt;AF$10+7)*ISNUMBER(B_CKDATA)*B_SM*B_INTYPE),""),"")</f>
        <v/>
      </c>
      <c r="AG27" s="302" t="str">
        <f>IF(ISNUMBER(AG$10),IFERROR(SUMPRODUCT((B_CKDATE&gt;=AG$10)*(B_CKDATE&lt;AG$10+7)*ISNUMBER(B_CKDATA)*B_SM*B_INTYPE,B_CKDATA)/SUMPRODUCT((B_CKDATE&gt;=AG$10)*(B_CKDATE&lt;AG$10+7)*ISNUMBER(B_CKDATA)*B_SM*B_INTYPE),""),"")</f>
        <v/>
      </c>
      <c r="AH27" s="302" t="str">
        <f>IF(ISNUMBER(AH$10),IFERROR(SUMPRODUCT((B_CKDATE&gt;=AH$10)*(B_CKDATE&lt;AH$10+7)*ISNUMBER(B_CKDATA)*B_SM*B_INTYPE,B_CKDATA)/SUMPRODUCT((B_CKDATE&gt;=AH$10)*(B_CKDATE&lt;AH$10+7)*ISNUMBER(B_CKDATA)*B_SM*B_INTYPE),""),"")</f>
        <v/>
      </c>
      <c r="AI27" s="302" t="str">
        <f>IF(ISNUMBER(AI$10),IFERROR(SUMPRODUCT((B_CKDATE&gt;=AI$10)*(B_CKDATE&lt;AI$10+7)*ISNUMBER(B_CKDATA)*B_SM*B_INTYPE,B_CKDATA)/SUMPRODUCT((B_CKDATE&gt;=AI$10)*(B_CKDATE&lt;AI$10+7)*ISNUMBER(B_CKDATA)*B_SM*B_INTYPE),""),"")</f>
        <v/>
      </c>
    </row>
    <row r="28" spans="2:38" s="187" customFormat="1" x14ac:dyDescent="0.2">
      <c r="B28" s="266"/>
      <c r="C28" s="267" t="s">
        <v>360</v>
      </c>
      <c r="D28" s="301" t="str">
        <f>Closing!D5</f>
        <v/>
      </c>
      <c r="E28" s="302" t="str">
        <f>IF(ISNUMBER(E$10),IFERROR(SUMPRODUCT((C_CKDATE&gt;=E$10)*(C_CKDATE&lt;E$10+7)*ISNUMBER(C_CKDATA)*C_SM*C_INTYPE,C_CKDATA)/SUMPRODUCT((C_CKDATE&gt;=E$10)*(C_CKDATE&lt;E$10+7)*ISNUMBER(C_CKDATA)*C_SM*C_INTYPE),""),"")</f>
        <v/>
      </c>
      <c r="F28" s="302" t="str">
        <f>IF(ISNUMBER(F$10),IFERROR(SUMPRODUCT((C_CKDATE&gt;=F$10)*(C_CKDATE&lt;F$10+7)*ISNUMBER(C_CKDATA)*C_SM*C_INTYPE,C_CKDATA)/SUMPRODUCT((C_CKDATE&gt;=F$10)*(C_CKDATE&lt;F$10+7)*ISNUMBER(C_CKDATA)*C_SM*C_INTYPE),""),"")</f>
        <v/>
      </c>
      <c r="G28" s="302" t="str">
        <f>IF(ISNUMBER(G$10),IFERROR(SUMPRODUCT((C_CKDATE&gt;=G$10)*(C_CKDATE&lt;G$10+7)*ISNUMBER(C_CKDATA)*C_SM*C_INTYPE,C_CKDATA)/SUMPRODUCT((C_CKDATE&gt;=G$10)*(C_CKDATE&lt;G$10+7)*ISNUMBER(C_CKDATA)*C_SM*C_INTYPE),""),"")</f>
        <v/>
      </c>
      <c r="H28" s="302" t="str">
        <f>IF(ISNUMBER(H$10),IFERROR(SUMPRODUCT((C_CKDATE&gt;=H$10)*(C_CKDATE&lt;H$10+7)*ISNUMBER(C_CKDATA)*C_SM*C_INTYPE,C_CKDATA)/SUMPRODUCT((C_CKDATE&gt;=H$10)*(C_CKDATE&lt;H$10+7)*ISNUMBER(C_CKDATA)*C_SM*C_INTYPE),""),"")</f>
        <v/>
      </c>
      <c r="I28" s="302" t="str">
        <f>IF(ISNUMBER(I$10),IFERROR(SUMPRODUCT((C_CKDATE&gt;=I$10)*(C_CKDATE&lt;I$10+7)*ISNUMBER(C_CKDATA)*C_SM*C_INTYPE,C_CKDATA)/SUMPRODUCT((C_CKDATE&gt;=I$10)*(C_CKDATE&lt;I$10+7)*ISNUMBER(C_CKDATA)*C_SM*C_INTYPE),""),"")</f>
        <v/>
      </c>
      <c r="J28" s="302" t="str">
        <f>IF(ISNUMBER(J$10),IFERROR(SUMPRODUCT((C_CKDATE&gt;=J$10)*(C_CKDATE&lt;J$10+7)*ISNUMBER(C_CKDATA)*C_SM*C_INTYPE,C_CKDATA)/SUMPRODUCT((C_CKDATE&gt;=J$10)*(C_CKDATE&lt;J$10+7)*ISNUMBER(C_CKDATA)*C_SM*C_INTYPE),""),"")</f>
        <v/>
      </c>
      <c r="K28" s="302" t="str">
        <f>IF(ISNUMBER(K$10),IFERROR(SUMPRODUCT((C_CKDATE&gt;=K$10)*(C_CKDATE&lt;K$10+7)*ISNUMBER(C_CKDATA)*C_SM*C_INTYPE,C_CKDATA)/SUMPRODUCT((C_CKDATE&gt;=K$10)*(C_CKDATE&lt;K$10+7)*ISNUMBER(C_CKDATA)*C_SM*C_INTYPE),""),"")</f>
        <v/>
      </c>
      <c r="L28" s="302" t="str">
        <f>IF(ISNUMBER(L$10),IFERROR(SUMPRODUCT((C_CKDATE&gt;=L$10)*(C_CKDATE&lt;L$10+7)*ISNUMBER(C_CKDATA)*C_SM*C_INTYPE,C_CKDATA)/SUMPRODUCT((C_CKDATE&gt;=L$10)*(C_CKDATE&lt;L$10+7)*ISNUMBER(C_CKDATA)*C_SM*C_INTYPE),""),"")</f>
        <v/>
      </c>
      <c r="M28" s="302" t="str">
        <f>IF(ISNUMBER(M$10),IFERROR(SUMPRODUCT((C_CKDATE&gt;=M$10)*(C_CKDATE&lt;M$10+7)*ISNUMBER(C_CKDATA)*C_SM*C_INTYPE,C_CKDATA)/SUMPRODUCT((C_CKDATE&gt;=M$10)*(C_CKDATE&lt;M$10+7)*ISNUMBER(C_CKDATA)*C_SM*C_INTYPE),""),"")</f>
        <v/>
      </c>
      <c r="N28" s="302" t="str">
        <f>IF(ISNUMBER(N$10),IFERROR(SUMPRODUCT((C_CKDATE&gt;=N$10)*(C_CKDATE&lt;N$10+7)*ISNUMBER(C_CKDATA)*C_SM*C_INTYPE,C_CKDATA)/SUMPRODUCT((C_CKDATE&gt;=N$10)*(C_CKDATE&lt;N$10+7)*ISNUMBER(C_CKDATA)*C_SM*C_INTYPE),""),"")</f>
        <v/>
      </c>
      <c r="O28" s="302" t="str">
        <f>IF(ISNUMBER(O$10),IFERROR(SUMPRODUCT((C_CKDATE&gt;=O$10)*(C_CKDATE&lt;O$10+7)*ISNUMBER(C_CKDATA)*C_SM*C_INTYPE,C_CKDATA)/SUMPRODUCT((C_CKDATE&gt;=O$10)*(C_CKDATE&lt;O$10+7)*ISNUMBER(C_CKDATA)*C_SM*C_INTYPE),""),"")</f>
        <v/>
      </c>
      <c r="P28" s="302" t="str">
        <f>IF(ISNUMBER(P$10),IFERROR(SUMPRODUCT((C_CKDATE&gt;=P$10)*(C_CKDATE&lt;P$10+7)*ISNUMBER(C_CKDATA)*C_SM*C_INTYPE,C_CKDATA)/SUMPRODUCT((C_CKDATE&gt;=P$10)*(C_CKDATE&lt;P$10+7)*ISNUMBER(C_CKDATA)*C_SM*C_INTYPE),""),"")</f>
        <v/>
      </c>
      <c r="Q28" s="302" t="str">
        <f>IF(ISNUMBER(Q$10),IFERROR(SUMPRODUCT((C_CKDATE&gt;=Q$10)*(C_CKDATE&lt;Q$10+7)*ISNUMBER(C_CKDATA)*C_SM*C_INTYPE,C_CKDATA)/SUMPRODUCT((C_CKDATE&gt;=Q$10)*(C_CKDATE&lt;Q$10+7)*ISNUMBER(C_CKDATA)*C_SM*C_INTYPE),""),"")</f>
        <v/>
      </c>
      <c r="R28" s="302" t="str">
        <f>IF(ISNUMBER(R$10),IFERROR(SUMPRODUCT((C_CKDATE&gt;=R$10)*(C_CKDATE&lt;R$10+7)*ISNUMBER(C_CKDATA)*C_SM*C_INTYPE,C_CKDATA)/SUMPRODUCT((C_CKDATE&gt;=R$10)*(C_CKDATE&lt;R$10+7)*ISNUMBER(C_CKDATA)*C_SM*C_INTYPE),""),"")</f>
        <v/>
      </c>
      <c r="S28" s="302" t="str">
        <f>IF(ISNUMBER(S$10),IFERROR(SUMPRODUCT((C_CKDATE&gt;=S$10)*(C_CKDATE&lt;S$10+7)*ISNUMBER(C_CKDATA)*C_SM*C_INTYPE,C_CKDATA)/SUMPRODUCT((C_CKDATE&gt;=S$10)*(C_CKDATE&lt;S$10+7)*ISNUMBER(C_CKDATA)*C_SM*C_INTYPE),""),"")</f>
        <v/>
      </c>
      <c r="T28" s="302" t="str">
        <f>IF(ISNUMBER(T$10),IFERROR(SUMPRODUCT((C_CKDATE&gt;=T$10)*(C_CKDATE&lt;T$10+7)*ISNUMBER(C_CKDATA)*C_SM*C_INTYPE,C_CKDATA)/SUMPRODUCT((C_CKDATE&gt;=T$10)*(C_CKDATE&lt;T$10+7)*ISNUMBER(C_CKDATA)*C_SM*C_INTYPE),""),"")</f>
        <v/>
      </c>
      <c r="U28" s="302" t="str">
        <f>IF(ISNUMBER(U$10),IFERROR(SUMPRODUCT((C_CKDATE&gt;=U$10)*(C_CKDATE&lt;U$10+7)*ISNUMBER(C_CKDATA)*C_SM*C_INTYPE,C_CKDATA)/SUMPRODUCT((C_CKDATE&gt;=U$10)*(C_CKDATE&lt;U$10+7)*ISNUMBER(C_CKDATA)*C_SM*C_INTYPE),""),"")</f>
        <v/>
      </c>
      <c r="V28" s="302" t="str">
        <f>IF(ISNUMBER(V$10),IFERROR(SUMPRODUCT((C_CKDATE&gt;=V$10)*(C_CKDATE&lt;V$10+7)*ISNUMBER(C_CKDATA)*C_SM*C_INTYPE,C_CKDATA)/SUMPRODUCT((C_CKDATE&gt;=V$10)*(C_CKDATE&lt;V$10+7)*ISNUMBER(C_CKDATA)*C_SM*C_INTYPE),""),"")</f>
        <v/>
      </c>
      <c r="W28" s="302" t="str">
        <f>IF(ISNUMBER(W$10),IFERROR(SUMPRODUCT((C_CKDATE&gt;=W$10)*(C_CKDATE&lt;W$10+7)*ISNUMBER(C_CKDATA)*C_SM*C_INTYPE,C_CKDATA)/SUMPRODUCT((C_CKDATE&gt;=W$10)*(C_CKDATE&lt;W$10+7)*ISNUMBER(C_CKDATA)*C_SM*C_INTYPE),""),"")</f>
        <v/>
      </c>
      <c r="X28" s="302" t="str">
        <f>IF(ISNUMBER(X$10),IFERROR(SUMPRODUCT((C_CKDATE&gt;=X$10)*(C_CKDATE&lt;X$10+7)*ISNUMBER(C_CKDATA)*C_SM*C_INTYPE,C_CKDATA)/SUMPRODUCT((C_CKDATE&gt;=X$10)*(C_CKDATE&lt;X$10+7)*ISNUMBER(C_CKDATA)*C_SM*C_INTYPE),""),"")</f>
        <v/>
      </c>
      <c r="Y28" s="302" t="str">
        <f>IF(ISNUMBER(Y$10),IFERROR(SUMPRODUCT((C_CKDATE&gt;=Y$10)*(C_CKDATE&lt;Y$10+7)*ISNUMBER(C_CKDATA)*C_SM*C_INTYPE,C_CKDATA)/SUMPRODUCT((C_CKDATE&gt;=Y$10)*(C_CKDATE&lt;Y$10+7)*ISNUMBER(C_CKDATA)*C_SM*C_INTYPE),""),"")</f>
        <v/>
      </c>
      <c r="Z28" s="302" t="str">
        <f>IF(ISNUMBER(Z$10),IFERROR(SUMPRODUCT((C_CKDATE&gt;=Z$10)*(C_CKDATE&lt;Z$10+7)*ISNUMBER(C_CKDATA)*C_SM*C_INTYPE,C_CKDATA)/SUMPRODUCT((C_CKDATE&gt;=Z$10)*(C_CKDATE&lt;Z$10+7)*ISNUMBER(C_CKDATA)*C_SM*C_INTYPE),""),"")</f>
        <v/>
      </c>
      <c r="AA28" s="302" t="str">
        <f>IF(ISNUMBER(AA$10),IFERROR(SUMPRODUCT((C_CKDATE&gt;=AA$10)*(C_CKDATE&lt;AA$10+7)*ISNUMBER(C_CKDATA)*C_SM*C_INTYPE,C_CKDATA)/SUMPRODUCT((C_CKDATE&gt;=AA$10)*(C_CKDATE&lt;AA$10+7)*ISNUMBER(C_CKDATA)*C_SM*C_INTYPE),""),"")</f>
        <v/>
      </c>
      <c r="AB28" s="302" t="str">
        <f>IF(ISNUMBER(AB$10),IFERROR(SUMPRODUCT((C_CKDATE&gt;=AB$10)*(C_CKDATE&lt;AB$10+7)*ISNUMBER(C_CKDATA)*C_SM*C_INTYPE,C_CKDATA)/SUMPRODUCT((C_CKDATE&gt;=AB$10)*(C_CKDATE&lt;AB$10+7)*ISNUMBER(C_CKDATA)*C_SM*C_INTYPE),""),"")</f>
        <v/>
      </c>
      <c r="AC28" s="302" t="str">
        <f>IF(ISNUMBER(AC$10),IFERROR(SUMPRODUCT((C_CKDATE&gt;=AC$10)*(C_CKDATE&lt;AC$10+7)*ISNUMBER(C_CKDATA)*C_SM*C_INTYPE,C_CKDATA)/SUMPRODUCT((C_CKDATE&gt;=AC$10)*(C_CKDATE&lt;AC$10+7)*ISNUMBER(C_CKDATA)*C_SM*C_INTYPE),""),"")</f>
        <v/>
      </c>
      <c r="AD28" s="302" t="str">
        <f>IF(ISNUMBER(AD$10),IFERROR(SUMPRODUCT((C_CKDATE&gt;=AD$10)*(C_CKDATE&lt;AD$10+7)*ISNUMBER(C_CKDATA)*C_SM*C_INTYPE,C_CKDATA)/SUMPRODUCT((C_CKDATE&gt;=AD$10)*(C_CKDATE&lt;AD$10+7)*ISNUMBER(C_CKDATA)*C_SM*C_INTYPE),""),"")</f>
        <v/>
      </c>
      <c r="AE28" s="302" t="str">
        <f>IF(ISNUMBER(AE$10),IFERROR(SUMPRODUCT((C_CKDATE&gt;=AE$10)*(C_CKDATE&lt;AE$10+7)*ISNUMBER(C_CKDATA)*C_SM*C_INTYPE,C_CKDATA)/SUMPRODUCT((C_CKDATE&gt;=AE$10)*(C_CKDATE&lt;AE$10+7)*ISNUMBER(C_CKDATA)*C_SM*C_INTYPE),""),"")</f>
        <v/>
      </c>
      <c r="AF28" s="302" t="str">
        <f>IF(ISNUMBER(AF$10),IFERROR(SUMPRODUCT((C_CKDATE&gt;=AF$10)*(C_CKDATE&lt;AF$10+7)*ISNUMBER(C_CKDATA)*C_SM*C_INTYPE,C_CKDATA)/SUMPRODUCT((C_CKDATE&gt;=AF$10)*(C_CKDATE&lt;AF$10+7)*ISNUMBER(C_CKDATA)*C_SM*C_INTYPE),""),"")</f>
        <v/>
      </c>
      <c r="AG28" s="302" t="str">
        <f>IF(ISNUMBER(AG$10),IFERROR(SUMPRODUCT((C_CKDATE&gt;=AG$10)*(C_CKDATE&lt;AG$10+7)*ISNUMBER(C_CKDATA)*C_SM*C_INTYPE,C_CKDATA)/SUMPRODUCT((C_CKDATE&gt;=AG$10)*(C_CKDATE&lt;AG$10+7)*ISNUMBER(C_CKDATA)*C_SM*C_INTYPE),""),"")</f>
        <v/>
      </c>
      <c r="AH28" s="302" t="str">
        <f>IF(ISNUMBER(AH$10),IFERROR(SUMPRODUCT((C_CKDATE&gt;=AH$10)*(C_CKDATE&lt;AH$10+7)*ISNUMBER(C_CKDATA)*C_SM*C_INTYPE,C_CKDATA)/SUMPRODUCT((C_CKDATE&gt;=AH$10)*(C_CKDATE&lt;AH$10+7)*ISNUMBER(C_CKDATA)*C_SM*C_INTYPE),""),"")</f>
        <v/>
      </c>
      <c r="AI28" s="302" t="str">
        <f>IF(ISNUMBER(AI$10),IFERROR(SUMPRODUCT((C_CKDATE&gt;=AI$10)*(C_CKDATE&lt;AI$10+7)*ISNUMBER(C_CKDATA)*C_SM*C_INTYPE,C_CKDATA)/SUMPRODUCT((C_CKDATE&gt;=AI$10)*(C_CKDATE&lt;AI$10+7)*ISNUMBER(C_CKDATA)*C_SM*C_INTYPE),""),"")</f>
        <v/>
      </c>
    </row>
    <row r="29" spans="2:38" s="183" customFormat="1" x14ac:dyDescent="0.2">
      <c r="B29" s="268"/>
      <c r="C29" s="268"/>
      <c r="D29" s="269"/>
      <c r="E29" s="53"/>
      <c r="F29" s="53"/>
      <c r="G29" s="53"/>
      <c r="H29" s="53"/>
      <c r="I29" s="53"/>
      <c r="J29" s="53"/>
      <c r="K29" s="53"/>
      <c r="L29" s="53"/>
      <c r="M29" s="53"/>
      <c r="N29" s="269"/>
      <c r="O29" s="269"/>
      <c r="P29" s="269"/>
      <c r="Q29" s="269"/>
      <c r="R29" s="269"/>
      <c r="S29" s="269"/>
      <c r="T29" s="269"/>
      <c r="U29" s="269"/>
      <c r="V29" s="269"/>
      <c r="W29" s="269"/>
      <c r="X29" s="269"/>
      <c r="Y29" s="269"/>
      <c r="Z29" s="269"/>
      <c r="AA29" s="269"/>
      <c r="AB29" s="269"/>
      <c r="AC29" s="269"/>
      <c r="AD29" s="269"/>
      <c r="AE29" s="269"/>
      <c r="AF29" s="269"/>
      <c r="AG29" s="269"/>
      <c r="AH29" s="269"/>
      <c r="AI29" s="269"/>
    </row>
    <row r="30" spans="2:38" s="270" customFormat="1" x14ac:dyDescent="0.2">
      <c r="B30" s="476" t="s">
        <v>34</v>
      </c>
      <c r="C30" s="477"/>
      <c r="D30" s="54" t="s">
        <v>316</v>
      </c>
      <c r="E30" s="54">
        <f t="shared" ref="E30:P30" si="1">IF(OR(PRJ_START="&lt;dd-mmm-yy&gt;",NOT(ISNUMBER(PRJ_START))),"mmm-yy",DATE(YEAR(PRJ_START),MONTH(PRJ_START)+COLUMN()-COLUMN($E$30)+1,0))</f>
        <v>42490</v>
      </c>
      <c r="F30" s="54">
        <f t="shared" si="1"/>
        <v>42521</v>
      </c>
      <c r="G30" s="54">
        <f t="shared" si="1"/>
        <v>42551</v>
      </c>
      <c r="H30" s="54">
        <f t="shared" si="1"/>
        <v>42582</v>
      </c>
      <c r="I30" s="54">
        <f t="shared" si="1"/>
        <v>42613</v>
      </c>
      <c r="J30" s="54">
        <f t="shared" si="1"/>
        <v>42643</v>
      </c>
      <c r="K30" s="54">
        <f t="shared" si="1"/>
        <v>42674</v>
      </c>
      <c r="L30" s="54">
        <f t="shared" si="1"/>
        <v>42704</v>
      </c>
      <c r="M30" s="54">
        <f t="shared" si="1"/>
        <v>42735</v>
      </c>
      <c r="N30" s="54">
        <f t="shared" si="1"/>
        <v>42766</v>
      </c>
      <c r="O30" s="54">
        <f t="shared" si="1"/>
        <v>42794</v>
      </c>
      <c r="P30" s="54">
        <f t="shared" si="1"/>
        <v>42825</v>
      </c>
      <c r="Q30" s="177"/>
      <c r="AJ30" s="177"/>
      <c r="AK30" s="177"/>
      <c r="AL30" s="177"/>
    </row>
    <row r="31" spans="2:38" s="270" customFormat="1" ht="13.9" hidden="1" customHeight="1" x14ac:dyDescent="0.2">
      <c r="B31" s="271"/>
      <c r="C31" s="272"/>
      <c r="D31" s="55">
        <f>IF($C$9="",DATE(YEAR(E$30),MONTH(E$30),1)-1,DATE(YEAR(E$30),MONTH(E$30)-1,$C$9))</f>
        <v>42455</v>
      </c>
      <c r="E31" s="55">
        <f>IF($C$9="",DATE(YEAR(E$30),MONTH(E$30)+1,1)-1,DATE(YEAR(E$30),MONTH(E$30),$C$9))</f>
        <v>42486</v>
      </c>
      <c r="F31" s="55">
        <f t="shared" ref="F31:P31" si="2">IF($C$9="",DATE(YEAR(F$30),MONTH(F$30)+1,1)-1,DATE(YEAR(F$30),MONTH(F$30),$C$9))</f>
        <v>42516</v>
      </c>
      <c r="G31" s="55">
        <f t="shared" si="2"/>
        <v>42547</v>
      </c>
      <c r="H31" s="55">
        <f t="shared" si="2"/>
        <v>42577</v>
      </c>
      <c r="I31" s="55">
        <f t="shared" si="2"/>
        <v>42608</v>
      </c>
      <c r="J31" s="55">
        <f t="shared" si="2"/>
        <v>42639</v>
      </c>
      <c r="K31" s="55">
        <f t="shared" si="2"/>
        <v>42669</v>
      </c>
      <c r="L31" s="55">
        <f t="shared" si="2"/>
        <v>42700</v>
      </c>
      <c r="M31" s="55">
        <f t="shared" si="2"/>
        <v>42730</v>
      </c>
      <c r="N31" s="55">
        <f t="shared" si="2"/>
        <v>42761</v>
      </c>
      <c r="O31" s="55">
        <f t="shared" si="2"/>
        <v>42792</v>
      </c>
      <c r="P31" s="55">
        <f t="shared" si="2"/>
        <v>42820</v>
      </c>
      <c r="Q31" s="177"/>
      <c r="AJ31" s="177"/>
      <c r="AK31" s="177"/>
      <c r="AL31" s="177"/>
    </row>
    <row r="32" spans="2:38" s="273" customFormat="1" x14ac:dyDescent="0.2">
      <c r="B32" s="468" t="s">
        <v>432</v>
      </c>
      <c r="C32" s="468"/>
      <c r="D32" s="301" t="str">
        <f>IFERROR((SUMPRODUCT(ISNUMBER(P_CKDATE)*ISNUMBER(P_CKDATA)*P_INTYPE,P_CKDATA)+SUMPRODUCT(ISNUMBER(M_CKDATE)*ISNUMBER(M_CKDATA)*M_INTYPE,M_CKDATA)+SUMPRODUCT(ISNUMBER(W_CKDATE)*ISNUMBER(W_CKDATA)*W_INTYPE,W_CKDATA)+SUMPRODUCT(ISNUMBER(B_CKDATE)*ISNUMBER(B_CKDATA)*B_INTYPE,B_CKDATA)+SUMPRODUCT(ISNUMBER(C_CKDATE)*ISNUMBER(C_CKDATA)*C_INTYPE,C_CKDATA))/(SUMPRODUCT(ISNUMBER(P_CKDATE)*ISNUMBER(P_CKDATA)*P_INTYPE)+SUMPRODUCT(ISNUMBER(M_CKDATE)*ISNUMBER(M_CKDATA)*M_INTYPE)+SUMPRODUCT(ISNUMBER(W_CKDATE)*ISNUMBER(W_CKDATA)*W_INTYPE)+SUMPRODUCT(ISNUMBER(B_CKDATE)*ISNUMBER(B_CKDATA)*B_INTYPE)+SUMPRODUCT(ISNUMBER(C_CKDATE)*ISNUMBER(C_CKDATA)*C_INTYPE)),"")</f>
        <v/>
      </c>
      <c r="E32" s="301" t="str">
        <f>IF(ISNUMBER(E$30),IFERROR((SUMPRODUCT((P_CKDATE&gt;D$31)*(P_CKDATE&lt;=E$31)*ISNUMBER(P_CKDATA)*P_INTYPE,P_CKDATA)+SUMPRODUCT((M_CKDATE&gt;D$31)*(M_CKDATE&lt;=E$31)*ISNUMBER(M_CKDATA)*M_INTYPE,M_CKDATA)+SUMPRODUCT((W_CKDATE&gt;D$31)*(W_CKDATE&lt;=E$31)*ISNUMBER(W_CKDATA)*W_INTYPE,W_CKDATA)+SUMPRODUCT((B_CKDATE&gt;D$31)*(B_CKDATE&lt;=E$31)*ISNUMBER(B_CKDATA)*B_INTYPE,B_CKDATA)+SUMPRODUCT((C_CKDATE&gt;D$31)*(C_CKDATE&lt;=E$31)*ISNUMBER(C_CKDATA)*C_INTYPE,C_CKDATA))/(SUMPRODUCT((P_CKDATE&gt;D$31)*(P_CKDATE&lt;=E$31)*ISNUMBER(P_CKDATA)*P_INTYPE)+SUMPRODUCT((M_CKDATE&gt;D$31)*(M_CKDATE&lt;=E$31)*ISNUMBER(M_CKDATA)*M_INTYPE)+SUMPRODUCT((W_CKDATE&gt;D$31)*(W_CKDATE&lt;=E$31)*ISNUMBER(W_CKDATA)*W_INTYPE)+SUMPRODUCT((B_CKDATE&gt;D$31)*(B_CKDATE&lt;=E$31)*ISNUMBER(B_CKDATA)*B_INTYPE)+SUMPRODUCT((C_CKDATE&gt;D$31)*(C_CKDATE&lt;=E$31)*ISNUMBER(C_CKDATA)*C_INTYPE)),""),"")</f>
        <v/>
      </c>
      <c r="F32" s="301" t="str">
        <f>IF(ISNUMBER(F$30),IFERROR((SUMPRODUCT((P_CKDATE&gt;E$31)*(P_CKDATE&lt;=F$31)*ISNUMBER(P_CKDATA)*P_INTYPE,P_CKDATA)+SUMPRODUCT((M_CKDATE&gt;E$31)*(M_CKDATE&lt;=F$31)*ISNUMBER(M_CKDATA)*M_INTYPE,M_CKDATA)+SUMPRODUCT((W_CKDATE&gt;E$31)*(W_CKDATE&lt;=F$31)*ISNUMBER(W_CKDATA)*W_INTYPE,W_CKDATA)+SUMPRODUCT((B_CKDATE&gt;E$31)*(B_CKDATE&lt;=F$31)*ISNUMBER(B_CKDATA)*B_INTYPE,B_CKDATA)+SUMPRODUCT((C_CKDATE&gt;E$31)*(C_CKDATE&lt;=F$31)*ISNUMBER(C_CKDATA)*C_INTYPE,C_CKDATA))/(SUMPRODUCT((P_CKDATE&gt;E$31)*(P_CKDATE&lt;=F$31)*ISNUMBER(P_CKDATA)*P_INTYPE)+SUMPRODUCT((M_CKDATE&gt;E$31)*(M_CKDATE&lt;=F$31)*ISNUMBER(M_CKDATA)*M_INTYPE)+SUMPRODUCT((W_CKDATE&gt;E$31)*(W_CKDATE&lt;=F$31)*ISNUMBER(W_CKDATA)*W_INTYPE)+SUMPRODUCT((B_CKDATE&gt;E$31)*(B_CKDATE&lt;=F$31)*ISNUMBER(B_CKDATA)*B_INTYPE)+SUMPRODUCT((C_CKDATE&gt;E$31)*(C_CKDATE&lt;=F$31)*ISNUMBER(C_CKDATA)*C_INTYPE)),""),"")</f>
        <v/>
      </c>
      <c r="G32" s="301" t="str">
        <f>IF(ISNUMBER(G$30),IFERROR((SUMPRODUCT((P_CKDATE&gt;F$31)*(P_CKDATE&lt;=G$31)*ISNUMBER(P_CKDATA)*P_INTYPE,P_CKDATA)+SUMPRODUCT((M_CKDATE&gt;F$31)*(M_CKDATE&lt;=G$31)*ISNUMBER(M_CKDATA)*M_INTYPE,M_CKDATA)+SUMPRODUCT((W_CKDATE&gt;F$31)*(W_CKDATE&lt;=G$31)*ISNUMBER(W_CKDATA)*W_INTYPE,W_CKDATA)+SUMPRODUCT((B_CKDATE&gt;F$31)*(B_CKDATE&lt;=G$31)*ISNUMBER(B_CKDATA)*B_INTYPE,B_CKDATA)+SUMPRODUCT((C_CKDATE&gt;F$31)*(C_CKDATE&lt;=G$31)*ISNUMBER(C_CKDATA)*C_INTYPE,C_CKDATA))/(SUMPRODUCT((P_CKDATE&gt;F$31)*(P_CKDATE&lt;=G$31)*ISNUMBER(P_CKDATA)*P_INTYPE)+SUMPRODUCT((M_CKDATE&gt;F$31)*(M_CKDATE&lt;=G$31)*ISNUMBER(M_CKDATA)*M_INTYPE)+SUMPRODUCT((W_CKDATE&gt;F$31)*(W_CKDATE&lt;=G$31)*ISNUMBER(W_CKDATA)*W_INTYPE)+SUMPRODUCT((B_CKDATE&gt;F$31)*(B_CKDATE&lt;=G$31)*ISNUMBER(B_CKDATA)*B_INTYPE)+SUMPRODUCT((C_CKDATE&gt;F$31)*(C_CKDATE&lt;=G$31)*ISNUMBER(C_CKDATA)*C_INTYPE)),""),"")</f>
        <v/>
      </c>
      <c r="H32" s="301" t="str">
        <f>IF(ISNUMBER(H$30),IFERROR((SUMPRODUCT((P_CKDATE&gt;G$31)*(P_CKDATE&lt;=H$31)*ISNUMBER(P_CKDATA)*P_INTYPE,P_CKDATA)+SUMPRODUCT((M_CKDATE&gt;G$31)*(M_CKDATE&lt;=H$31)*ISNUMBER(M_CKDATA)*M_INTYPE,M_CKDATA)+SUMPRODUCT((W_CKDATE&gt;G$31)*(W_CKDATE&lt;=H$31)*ISNUMBER(W_CKDATA)*W_INTYPE,W_CKDATA)+SUMPRODUCT((B_CKDATE&gt;G$31)*(B_CKDATE&lt;=H$31)*ISNUMBER(B_CKDATA)*B_INTYPE,B_CKDATA)+SUMPRODUCT((C_CKDATE&gt;G$31)*(C_CKDATE&lt;=H$31)*ISNUMBER(C_CKDATA)*C_INTYPE,C_CKDATA))/(SUMPRODUCT((P_CKDATE&gt;G$31)*(P_CKDATE&lt;=H$31)*ISNUMBER(P_CKDATA)*P_INTYPE)+SUMPRODUCT((M_CKDATE&gt;G$31)*(M_CKDATE&lt;=H$31)*ISNUMBER(M_CKDATA)*M_INTYPE)+SUMPRODUCT((W_CKDATE&gt;G$31)*(W_CKDATE&lt;=H$31)*ISNUMBER(W_CKDATA)*W_INTYPE)+SUMPRODUCT((B_CKDATE&gt;G$31)*(B_CKDATE&lt;=H$31)*ISNUMBER(B_CKDATA)*B_INTYPE)+SUMPRODUCT((C_CKDATE&gt;G$31)*(C_CKDATE&lt;=H$31)*ISNUMBER(C_CKDATA)*C_INTYPE)),""),"")</f>
        <v/>
      </c>
      <c r="I32" s="301" t="str">
        <f>IF(ISNUMBER(I$30),IFERROR((SUMPRODUCT((P_CKDATE&gt;H$31)*(P_CKDATE&lt;=I$31)*ISNUMBER(P_CKDATA)*P_INTYPE,P_CKDATA)+SUMPRODUCT((M_CKDATE&gt;H$31)*(M_CKDATE&lt;=I$31)*ISNUMBER(M_CKDATA)*M_INTYPE,M_CKDATA)+SUMPRODUCT((W_CKDATE&gt;H$31)*(W_CKDATE&lt;=I$31)*ISNUMBER(W_CKDATA)*W_INTYPE,W_CKDATA)+SUMPRODUCT((B_CKDATE&gt;H$31)*(B_CKDATE&lt;=I$31)*ISNUMBER(B_CKDATA)*B_INTYPE,B_CKDATA)+SUMPRODUCT((C_CKDATE&gt;H$31)*(C_CKDATE&lt;=I$31)*ISNUMBER(C_CKDATA)*C_INTYPE,C_CKDATA))/(SUMPRODUCT((P_CKDATE&gt;H$31)*(P_CKDATE&lt;=I$31)*ISNUMBER(P_CKDATA)*P_INTYPE)+SUMPRODUCT((M_CKDATE&gt;H$31)*(M_CKDATE&lt;=I$31)*ISNUMBER(M_CKDATA)*M_INTYPE)+SUMPRODUCT((W_CKDATE&gt;H$31)*(W_CKDATE&lt;=I$31)*ISNUMBER(W_CKDATA)*W_INTYPE)+SUMPRODUCT((B_CKDATE&gt;H$31)*(B_CKDATE&lt;=I$31)*ISNUMBER(B_CKDATA)*B_INTYPE)+SUMPRODUCT((C_CKDATE&gt;H$31)*(C_CKDATE&lt;=I$31)*ISNUMBER(C_CKDATA)*C_INTYPE)),""),"")</f>
        <v/>
      </c>
      <c r="J32" s="301" t="str">
        <f>IF(ISNUMBER(J$30),IFERROR((SUMPRODUCT((P_CKDATE&gt;I$31)*(P_CKDATE&lt;=J$31)*ISNUMBER(P_CKDATA)*P_INTYPE,P_CKDATA)+SUMPRODUCT((M_CKDATE&gt;I$31)*(M_CKDATE&lt;=J$31)*ISNUMBER(M_CKDATA)*M_INTYPE,M_CKDATA)+SUMPRODUCT((W_CKDATE&gt;I$31)*(W_CKDATE&lt;=J$31)*ISNUMBER(W_CKDATA)*W_INTYPE,W_CKDATA)+SUMPRODUCT((B_CKDATE&gt;I$31)*(B_CKDATE&lt;=J$31)*ISNUMBER(B_CKDATA)*B_INTYPE,B_CKDATA)+SUMPRODUCT((C_CKDATE&gt;I$31)*(C_CKDATE&lt;=J$31)*ISNUMBER(C_CKDATA)*C_INTYPE,C_CKDATA))/(SUMPRODUCT((P_CKDATE&gt;I$31)*(P_CKDATE&lt;=J$31)*ISNUMBER(P_CKDATA)*P_INTYPE)+SUMPRODUCT((M_CKDATE&gt;I$31)*(M_CKDATE&lt;=J$31)*ISNUMBER(M_CKDATA)*M_INTYPE)+SUMPRODUCT((W_CKDATE&gt;I$31)*(W_CKDATE&lt;=J$31)*ISNUMBER(W_CKDATA)*W_INTYPE)+SUMPRODUCT((B_CKDATE&gt;I$31)*(B_CKDATE&lt;=J$31)*ISNUMBER(B_CKDATA)*B_INTYPE)+SUMPRODUCT((C_CKDATE&gt;I$31)*(C_CKDATE&lt;=J$31)*ISNUMBER(C_CKDATA)*C_INTYPE)),""),"")</f>
        <v/>
      </c>
      <c r="K32" s="301" t="str">
        <f>IF(ISNUMBER(K$30),IFERROR((SUMPRODUCT((P_CKDATE&gt;J$31)*(P_CKDATE&lt;=K$31)*ISNUMBER(P_CKDATA)*P_INTYPE,P_CKDATA)+SUMPRODUCT((M_CKDATE&gt;J$31)*(M_CKDATE&lt;=K$31)*ISNUMBER(M_CKDATA)*M_INTYPE,M_CKDATA)+SUMPRODUCT((W_CKDATE&gt;J$31)*(W_CKDATE&lt;=K$31)*ISNUMBER(W_CKDATA)*W_INTYPE,W_CKDATA)+SUMPRODUCT((B_CKDATE&gt;J$31)*(B_CKDATE&lt;=K$31)*ISNUMBER(B_CKDATA)*B_INTYPE,B_CKDATA)+SUMPRODUCT((C_CKDATE&gt;J$31)*(C_CKDATE&lt;=K$31)*ISNUMBER(C_CKDATA)*C_INTYPE,C_CKDATA))/(SUMPRODUCT((P_CKDATE&gt;J$31)*(P_CKDATE&lt;=K$31)*ISNUMBER(P_CKDATA)*P_INTYPE)+SUMPRODUCT((M_CKDATE&gt;J$31)*(M_CKDATE&lt;=K$31)*ISNUMBER(M_CKDATA)*M_INTYPE)+SUMPRODUCT((W_CKDATE&gt;J$31)*(W_CKDATE&lt;=K$31)*ISNUMBER(W_CKDATA)*W_INTYPE)+SUMPRODUCT((B_CKDATE&gt;J$31)*(B_CKDATE&lt;=K$31)*ISNUMBER(B_CKDATA)*B_INTYPE)+SUMPRODUCT((C_CKDATE&gt;J$31)*(C_CKDATE&lt;=K$31)*ISNUMBER(C_CKDATA)*C_INTYPE)),""),"")</f>
        <v/>
      </c>
      <c r="L32" s="301" t="str">
        <f>IF(ISNUMBER(L$30),IFERROR((SUMPRODUCT((P_CKDATE&gt;K$31)*(P_CKDATE&lt;=L$31)*ISNUMBER(P_CKDATA)*P_INTYPE,P_CKDATA)+SUMPRODUCT((M_CKDATE&gt;K$31)*(M_CKDATE&lt;=L$31)*ISNUMBER(M_CKDATA)*M_INTYPE,M_CKDATA)+SUMPRODUCT((W_CKDATE&gt;K$31)*(W_CKDATE&lt;=L$31)*ISNUMBER(W_CKDATA)*W_INTYPE,W_CKDATA)+SUMPRODUCT((B_CKDATE&gt;K$31)*(B_CKDATE&lt;=L$31)*ISNUMBER(B_CKDATA)*B_INTYPE,B_CKDATA)+SUMPRODUCT((C_CKDATE&gt;K$31)*(C_CKDATE&lt;=L$31)*ISNUMBER(C_CKDATA)*C_INTYPE,C_CKDATA))/(SUMPRODUCT((P_CKDATE&gt;K$31)*(P_CKDATE&lt;=L$31)*ISNUMBER(P_CKDATA)*P_INTYPE)+SUMPRODUCT((M_CKDATE&gt;K$31)*(M_CKDATE&lt;=L$31)*ISNUMBER(M_CKDATA)*M_INTYPE)+SUMPRODUCT((W_CKDATE&gt;K$31)*(W_CKDATE&lt;=L$31)*ISNUMBER(W_CKDATA)*W_INTYPE)+SUMPRODUCT((B_CKDATE&gt;K$31)*(B_CKDATE&lt;=L$31)*ISNUMBER(B_CKDATA)*B_INTYPE)+SUMPRODUCT((C_CKDATE&gt;K$31)*(C_CKDATE&lt;=L$31)*ISNUMBER(C_CKDATA)*C_INTYPE)),""),"")</f>
        <v/>
      </c>
      <c r="M32" s="301" t="str">
        <f>IF(ISNUMBER(M$30),IFERROR((SUMPRODUCT((P_CKDATE&gt;L$31)*(P_CKDATE&lt;=M$31)*ISNUMBER(P_CKDATA)*P_INTYPE,P_CKDATA)+SUMPRODUCT((M_CKDATE&gt;L$31)*(M_CKDATE&lt;=M$31)*ISNUMBER(M_CKDATA)*M_INTYPE,M_CKDATA)+SUMPRODUCT((W_CKDATE&gt;L$31)*(W_CKDATE&lt;=M$31)*ISNUMBER(W_CKDATA)*W_INTYPE,W_CKDATA)+SUMPRODUCT((B_CKDATE&gt;L$31)*(B_CKDATE&lt;=M$31)*ISNUMBER(B_CKDATA)*B_INTYPE,B_CKDATA)+SUMPRODUCT((C_CKDATE&gt;L$31)*(C_CKDATE&lt;=M$31)*ISNUMBER(C_CKDATA)*C_INTYPE,C_CKDATA))/(SUMPRODUCT((P_CKDATE&gt;L$31)*(P_CKDATE&lt;=M$31)*ISNUMBER(P_CKDATA)*P_INTYPE)+SUMPRODUCT((M_CKDATE&gt;L$31)*(M_CKDATE&lt;=M$31)*ISNUMBER(M_CKDATA)*M_INTYPE)+SUMPRODUCT((W_CKDATE&gt;L$31)*(W_CKDATE&lt;=M$31)*ISNUMBER(W_CKDATA)*W_INTYPE)+SUMPRODUCT((B_CKDATE&gt;L$31)*(B_CKDATE&lt;=M$31)*ISNUMBER(B_CKDATA)*B_INTYPE)+SUMPRODUCT((C_CKDATE&gt;L$31)*(C_CKDATE&lt;=M$31)*ISNUMBER(C_CKDATA)*C_INTYPE)),""),"")</f>
        <v/>
      </c>
      <c r="N32" s="301" t="str">
        <f>IF(ISNUMBER(N$30),IFERROR((SUMPRODUCT((P_CKDATE&gt;M$31)*(P_CKDATE&lt;=N$31)*ISNUMBER(P_CKDATA)*P_INTYPE,P_CKDATA)+SUMPRODUCT((M_CKDATE&gt;M$31)*(M_CKDATE&lt;=N$31)*ISNUMBER(M_CKDATA)*M_INTYPE,M_CKDATA)+SUMPRODUCT((W_CKDATE&gt;M$31)*(W_CKDATE&lt;=N$31)*ISNUMBER(W_CKDATA)*W_INTYPE,W_CKDATA)+SUMPRODUCT((B_CKDATE&gt;M$31)*(B_CKDATE&lt;=N$31)*ISNUMBER(B_CKDATA)*B_INTYPE,B_CKDATA)+SUMPRODUCT((C_CKDATE&gt;M$31)*(C_CKDATE&lt;=N$31)*ISNUMBER(C_CKDATA)*C_INTYPE,C_CKDATA))/(SUMPRODUCT((P_CKDATE&gt;M$31)*(P_CKDATE&lt;=N$31)*ISNUMBER(P_CKDATA)*P_INTYPE)+SUMPRODUCT((M_CKDATE&gt;M$31)*(M_CKDATE&lt;=N$31)*ISNUMBER(M_CKDATA)*M_INTYPE)+SUMPRODUCT((W_CKDATE&gt;M$31)*(W_CKDATE&lt;=N$31)*ISNUMBER(W_CKDATA)*W_INTYPE)+SUMPRODUCT((B_CKDATE&gt;M$31)*(B_CKDATE&lt;=N$31)*ISNUMBER(B_CKDATA)*B_INTYPE)+SUMPRODUCT((C_CKDATE&gt;M$31)*(C_CKDATE&lt;=N$31)*ISNUMBER(C_CKDATA)*C_INTYPE)),""),"")</f>
        <v/>
      </c>
      <c r="O32" s="301" t="str">
        <f>IF(ISNUMBER(O$30),IFERROR((SUMPRODUCT((P_CKDATE&gt;N$31)*(P_CKDATE&lt;=O$31)*ISNUMBER(P_CKDATA)*P_INTYPE,P_CKDATA)+SUMPRODUCT((M_CKDATE&gt;N$31)*(M_CKDATE&lt;=O$31)*ISNUMBER(M_CKDATA)*M_INTYPE,M_CKDATA)+SUMPRODUCT((W_CKDATE&gt;N$31)*(W_CKDATE&lt;=O$31)*ISNUMBER(W_CKDATA)*W_INTYPE,W_CKDATA)+SUMPRODUCT((B_CKDATE&gt;N$31)*(B_CKDATE&lt;=O$31)*ISNUMBER(B_CKDATA)*B_INTYPE,B_CKDATA)+SUMPRODUCT((C_CKDATE&gt;N$31)*(C_CKDATE&lt;=O$31)*ISNUMBER(C_CKDATA)*C_INTYPE,C_CKDATA))/(SUMPRODUCT((P_CKDATE&gt;N$31)*(P_CKDATE&lt;=O$31)*ISNUMBER(P_CKDATA)*P_INTYPE)+SUMPRODUCT((M_CKDATE&gt;N$31)*(M_CKDATE&lt;=O$31)*ISNUMBER(M_CKDATA)*M_INTYPE)+SUMPRODUCT((W_CKDATE&gt;N$31)*(W_CKDATE&lt;=O$31)*ISNUMBER(W_CKDATA)*W_INTYPE)+SUMPRODUCT((B_CKDATE&gt;N$31)*(B_CKDATE&lt;=O$31)*ISNUMBER(B_CKDATA)*B_INTYPE)+SUMPRODUCT((C_CKDATE&gt;N$31)*(C_CKDATE&lt;=O$31)*ISNUMBER(C_CKDATA)*C_INTYPE)),""),"")</f>
        <v/>
      </c>
      <c r="P32" s="301" t="str">
        <f>IF(ISNUMBER(P$30),IFERROR((SUMPRODUCT((P_CKDATE&gt;O$31)*(P_CKDATE&lt;=P$31)*ISNUMBER(P_CKDATA)*P_INTYPE,P_CKDATA)+SUMPRODUCT((M_CKDATE&gt;O$31)*(M_CKDATE&lt;=P$31)*ISNUMBER(M_CKDATA)*M_INTYPE,M_CKDATA)+SUMPRODUCT((W_CKDATE&gt;O$31)*(W_CKDATE&lt;=P$31)*ISNUMBER(W_CKDATA)*W_INTYPE,W_CKDATA)+SUMPRODUCT((B_CKDATE&gt;O$31)*(B_CKDATE&lt;=P$31)*ISNUMBER(B_CKDATA)*B_INTYPE,B_CKDATA)+SUMPRODUCT((C_CKDATE&gt;O$31)*(C_CKDATE&lt;=P$31)*ISNUMBER(C_CKDATA)*C_INTYPE,C_CKDATA))/(SUMPRODUCT((P_CKDATE&gt;O$31)*(P_CKDATE&lt;=P$31)*ISNUMBER(P_CKDATA)*P_INTYPE)+SUMPRODUCT((M_CKDATE&gt;O$31)*(M_CKDATE&lt;=P$31)*ISNUMBER(M_CKDATA)*M_INTYPE)+SUMPRODUCT((W_CKDATE&gt;O$31)*(W_CKDATE&lt;=P$31)*ISNUMBER(W_CKDATA)*W_INTYPE)+SUMPRODUCT((B_CKDATE&gt;O$31)*(B_CKDATE&lt;=P$31)*ISNUMBER(B_CKDATA)*B_INTYPE)+SUMPRODUCT((C_CKDATE&gt;O$31)*(C_CKDATE&lt;=P$31)*ISNUMBER(C_CKDATA)*C_INTYPE)),""),"")</f>
        <v/>
      </c>
      <c r="Q32" s="176"/>
    </row>
    <row r="33" spans="2:17" s="187" customFormat="1" x14ac:dyDescent="0.2">
      <c r="B33" s="266"/>
      <c r="C33" s="267" t="s">
        <v>358</v>
      </c>
      <c r="D33" s="301" t="str">
        <f>Planning!D4</f>
        <v/>
      </c>
      <c r="E33" s="302" t="str">
        <f>IF(ISNUMBER(E$30),IFERROR(SUMPRODUCT((P_CKDATE&gt;D$31)*(P_CKDATE&lt;=E$31)*ISNUMBER(P_CKDATA)*P_INTYPE,P_CKDATA)/SUMPRODUCT((P_CKDATE&gt;D$31)*(P_CKDATE&lt;=E$31)*ISNUMBER(P_CKDATA)*P_INTYPE),""),"")</f>
        <v/>
      </c>
      <c r="F33" s="302" t="str">
        <f>IF(ISNUMBER(F$30),IFERROR(SUMPRODUCT((P_CKDATE&gt;E$31)*(P_CKDATE&lt;=F$31)*ISNUMBER(P_CKDATA)*P_INTYPE,P_CKDATA)/SUMPRODUCT((P_CKDATE&gt;E$31)*(P_CKDATE&lt;=F$31)*ISNUMBER(P_CKDATA)*P_INTYPE),""),"")</f>
        <v/>
      </c>
      <c r="G33" s="302" t="str">
        <f>IF(ISNUMBER(G$30),IFERROR(SUMPRODUCT((P_CKDATE&gt;F$31)*(P_CKDATE&lt;=G$31)*ISNUMBER(P_CKDATA)*P_INTYPE,P_CKDATA)/SUMPRODUCT((P_CKDATE&gt;F$31)*(P_CKDATE&lt;=G$31)*ISNUMBER(P_CKDATA)*P_INTYPE),""),"")</f>
        <v/>
      </c>
      <c r="H33" s="302" t="str">
        <f>IF(ISNUMBER(H$30),IFERROR(SUMPRODUCT((P_CKDATE&gt;G$31)*(P_CKDATE&lt;=H$31)*ISNUMBER(P_CKDATA)*P_INTYPE,P_CKDATA)/SUMPRODUCT((P_CKDATE&gt;G$31)*(P_CKDATE&lt;=H$31)*ISNUMBER(P_CKDATA)*P_INTYPE),""),"")</f>
        <v/>
      </c>
      <c r="I33" s="302" t="str">
        <f>IF(ISNUMBER(I$30),IFERROR(SUMPRODUCT((P_CKDATE&gt;H$31)*(P_CKDATE&lt;=I$31)*ISNUMBER(P_CKDATA)*P_INTYPE,P_CKDATA)/SUMPRODUCT((P_CKDATE&gt;H$31)*(P_CKDATE&lt;=I$31)*ISNUMBER(P_CKDATA)*P_INTYPE),""),"")</f>
        <v/>
      </c>
      <c r="J33" s="302" t="str">
        <f>IF(ISNUMBER(J$30),IFERROR(SUMPRODUCT((P_CKDATE&gt;I$31)*(P_CKDATE&lt;=J$31)*ISNUMBER(P_CKDATA)*P_INTYPE,P_CKDATA)/SUMPRODUCT((P_CKDATE&gt;I$31)*(P_CKDATE&lt;=J$31)*ISNUMBER(P_CKDATA)*P_INTYPE),""),"")</f>
        <v/>
      </c>
      <c r="K33" s="302" t="str">
        <f>IF(ISNUMBER(K$30),IFERROR(SUMPRODUCT((P_CKDATE&gt;J$31)*(P_CKDATE&lt;=K$31)*ISNUMBER(P_CKDATA)*P_INTYPE,P_CKDATA)/SUMPRODUCT((P_CKDATE&gt;J$31)*(P_CKDATE&lt;=K$31)*ISNUMBER(P_CKDATA)*P_INTYPE),""),"")</f>
        <v/>
      </c>
      <c r="L33" s="302" t="str">
        <f>IF(ISNUMBER(L$30),IFERROR(SUMPRODUCT((P_CKDATE&gt;K$31)*(P_CKDATE&lt;=L$31)*ISNUMBER(P_CKDATA)*P_INTYPE,P_CKDATA)/SUMPRODUCT((P_CKDATE&gt;K$31)*(P_CKDATE&lt;=L$31)*ISNUMBER(P_CKDATA)*P_INTYPE),""),"")</f>
        <v/>
      </c>
      <c r="M33" s="302" t="str">
        <f>IF(ISNUMBER(M$30),IFERROR(SUMPRODUCT((P_CKDATE&gt;L$31)*(P_CKDATE&lt;=M$31)*ISNUMBER(P_CKDATA)*P_INTYPE,P_CKDATA)/SUMPRODUCT((P_CKDATE&gt;L$31)*(P_CKDATE&lt;=M$31)*ISNUMBER(P_CKDATA)*P_INTYPE),""),"")</f>
        <v/>
      </c>
      <c r="N33" s="302" t="str">
        <f>IF(ISNUMBER(N$30),IFERROR(SUMPRODUCT((P_CKDATE&gt;M$31)*(P_CKDATE&lt;=N$31)*ISNUMBER(P_CKDATA)*P_INTYPE,P_CKDATA)/SUMPRODUCT((P_CKDATE&gt;M$31)*(P_CKDATE&lt;=N$31)*ISNUMBER(P_CKDATA)*P_INTYPE),""),"")</f>
        <v/>
      </c>
      <c r="O33" s="302" t="str">
        <f>IF(ISNUMBER(O$30),IFERROR(SUMPRODUCT((P_CKDATE&gt;N$31)*(P_CKDATE&lt;=O$31)*ISNUMBER(P_CKDATA)*P_INTYPE,P_CKDATA)/SUMPRODUCT((P_CKDATE&gt;N$31)*(P_CKDATE&lt;=O$31)*ISNUMBER(P_CKDATA)*P_INTYPE),""),"")</f>
        <v/>
      </c>
      <c r="P33" s="302" t="str">
        <f>IF(ISNUMBER(P$30),IFERROR(SUMPRODUCT((P_CKDATE&gt;O$31)*(P_CKDATE&lt;=P$31)*ISNUMBER(P_CKDATA)*P_INTYPE,P_CKDATA)/SUMPRODUCT((P_CKDATE&gt;O$31)*(P_CKDATE&lt;=P$31)*ISNUMBER(P_CKDATA)*P_INTYPE),""),"")</f>
        <v/>
      </c>
      <c r="Q33" s="177"/>
    </row>
    <row r="34" spans="2:17" s="187" customFormat="1" x14ac:dyDescent="0.2">
      <c r="B34" s="266"/>
      <c r="C34" s="267" t="s">
        <v>349</v>
      </c>
      <c r="D34" s="301" t="str">
        <f>Monthly!D4</f>
        <v/>
      </c>
      <c r="E34" s="302" t="str">
        <f>IF(ISNUMBER(E$30),IFERROR(SUMPRODUCT((M_CKDATE&gt;D$31)*(M_CKDATE&lt;=E$31)*ISNUMBER(M_CKDATA)*M_INTYPE,M_CKDATA)/SUMPRODUCT((M_CKDATE&gt;D$31)*(M_CKDATE&lt;=E$31)*ISNUMBER(M_CKDATA)*M_INTYPE),""),"")</f>
        <v/>
      </c>
      <c r="F34" s="302" t="str">
        <f>IF(ISNUMBER(F$30),IFERROR(SUMPRODUCT((M_CKDATE&gt;E$31)*(M_CKDATE&lt;=F$31)*ISNUMBER(M_CKDATA)*M_INTYPE,M_CKDATA)/SUMPRODUCT((M_CKDATE&gt;E$31)*(M_CKDATE&lt;=F$31)*ISNUMBER(M_CKDATA)*M_INTYPE),""),"")</f>
        <v/>
      </c>
      <c r="G34" s="302" t="str">
        <f>IF(ISNUMBER(G$30),IFERROR(SUMPRODUCT((M_CKDATE&gt;F$31)*(M_CKDATE&lt;=G$31)*ISNUMBER(M_CKDATA)*M_INTYPE,M_CKDATA)/SUMPRODUCT((M_CKDATE&gt;F$31)*(M_CKDATE&lt;=G$31)*ISNUMBER(M_CKDATA)*M_INTYPE),""),"")</f>
        <v/>
      </c>
      <c r="H34" s="302" t="str">
        <f>IF(ISNUMBER(H$30),IFERROR(SUMPRODUCT((M_CKDATE&gt;G$31)*(M_CKDATE&lt;=H$31)*ISNUMBER(M_CKDATA)*M_INTYPE,M_CKDATA)/SUMPRODUCT((M_CKDATE&gt;G$31)*(M_CKDATE&lt;=H$31)*ISNUMBER(M_CKDATA)*M_INTYPE),""),"")</f>
        <v/>
      </c>
      <c r="I34" s="302" t="str">
        <f>IF(ISNUMBER(I$30),IFERROR(SUMPRODUCT((M_CKDATE&gt;H$31)*(M_CKDATE&lt;=I$31)*ISNUMBER(M_CKDATA)*M_INTYPE,M_CKDATA)/SUMPRODUCT((M_CKDATE&gt;H$31)*(M_CKDATE&lt;=I$31)*ISNUMBER(M_CKDATA)*M_INTYPE),""),"")</f>
        <v/>
      </c>
      <c r="J34" s="302" t="str">
        <f>IF(ISNUMBER(J$30),IFERROR(SUMPRODUCT((M_CKDATE&gt;I$31)*(M_CKDATE&lt;=J$31)*ISNUMBER(M_CKDATA)*M_INTYPE,M_CKDATA)/SUMPRODUCT((M_CKDATE&gt;I$31)*(M_CKDATE&lt;=J$31)*ISNUMBER(M_CKDATA)*M_INTYPE),""),"")</f>
        <v/>
      </c>
      <c r="K34" s="302" t="str">
        <f>IF(ISNUMBER(K$30),IFERROR(SUMPRODUCT((M_CKDATE&gt;J$31)*(M_CKDATE&lt;=K$31)*ISNUMBER(M_CKDATA)*M_INTYPE,M_CKDATA)/SUMPRODUCT((M_CKDATE&gt;J$31)*(M_CKDATE&lt;=K$31)*ISNUMBER(M_CKDATA)*M_INTYPE),""),"")</f>
        <v/>
      </c>
      <c r="L34" s="302" t="str">
        <f>IF(ISNUMBER(L$30),IFERROR(SUMPRODUCT((M_CKDATE&gt;K$31)*(M_CKDATE&lt;=L$31)*ISNUMBER(M_CKDATA)*M_INTYPE,M_CKDATA)/SUMPRODUCT((M_CKDATE&gt;K$31)*(M_CKDATE&lt;=L$31)*ISNUMBER(M_CKDATA)*M_INTYPE),""),"")</f>
        <v/>
      </c>
      <c r="M34" s="302" t="str">
        <f>IF(ISNUMBER(M$30),IFERROR(SUMPRODUCT((M_CKDATE&gt;L$31)*(M_CKDATE&lt;=M$31)*ISNUMBER(M_CKDATA)*M_INTYPE,M_CKDATA)/SUMPRODUCT((M_CKDATE&gt;L$31)*(M_CKDATE&lt;=M$31)*ISNUMBER(M_CKDATA)*M_INTYPE),""),"")</f>
        <v/>
      </c>
      <c r="N34" s="302" t="str">
        <f>IF(ISNUMBER(N$30),IFERROR(SUMPRODUCT((M_CKDATE&gt;M$31)*(M_CKDATE&lt;=N$31)*ISNUMBER(M_CKDATA)*M_INTYPE,M_CKDATA)/SUMPRODUCT((M_CKDATE&gt;M$31)*(M_CKDATE&lt;=N$31)*ISNUMBER(M_CKDATA)*M_INTYPE),""),"")</f>
        <v/>
      </c>
      <c r="O34" s="302" t="str">
        <f>IF(ISNUMBER(O$30),IFERROR(SUMPRODUCT((M_CKDATE&gt;N$31)*(M_CKDATE&lt;=O$31)*ISNUMBER(M_CKDATA)*M_INTYPE,M_CKDATA)/SUMPRODUCT((M_CKDATE&gt;N$31)*(M_CKDATE&lt;=O$31)*ISNUMBER(M_CKDATA)*M_INTYPE),""),"")</f>
        <v/>
      </c>
      <c r="P34" s="302" t="str">
        <f>IF(ISNUMBER(P$30),IFERROR(SUMPRODUCT((M_CKDATE&gt;O$31)*(M_CKDATE&lt;=P$31)*ISNUMBER(M_CKDATA)*M_INTYPE,M_CKDATA)/SUMPRODUCT((M_CKDATE&gt;O$31)*(M_CKDATE&lt;=P$31)*ISNUMBER(M_CKDATA)*M_INTYPE),""),"")</f>
        <v/>
      </c>
      <c r="Q34" s="177"/>
    </row>
    <row r="35" spans="2:17" s="187" customFormat="1" x14ac:dyDescent="0.2">
      <c r="B35" s="266"/>
      <c r="C35" s="267" t="s">
        <v>342</v>
      </c>
      <c r="D35" s="301" t="str">
        <f>Weekly!D4</f>
        <v/>
      </c>
      <c r="E35" s="302" t="str">
        <f>IF(ISNUMBER(E$30),IFERROR(SUMPRODUCT((W_CKDATE&gt;D$31)*(W_CKDATE&lt;=E$31)*ISNUMBER(W_CKDATA)*W_INTYPE,W_CKDATA)/SUMPRODUCT((W_CKDATE&gt;D$31)*(W_CKDATE&lt;=E$31)*ISNUMBER(W_CKDATA)*W_INTYPE),""),"")</f>
        <v/>
      </c>
      <c r="F35" s="302" t="str">
        <f>IF(ISNUMBER(F$30),IFERROR(SUMPRODUCT((W_CKDATE&gt;E$31)*(W_CKDATE&lt;=F$31)*ISNUMBER(W_CKDATA)*W_INTYPE,W_CKDATA)/SUMPRODUCT((W_CKDATE&gt;E$31)*(W_CKDATE&lt;=F$31)*ISNUMBER(W_CKDATA)*W_INTYPE),""),"")</f>
        <v/>
      </c>
      <c r="G35" s="302" t="str">
        <f>IF(ISNUMBER(G$30),IFERROR(SUMPRODUCT((W_CKDATE&gt;F$31)*(W_CKDATE&lt;=G$31)*ISNUMBER(W_CKDATA)*W_INTYPE,W_CKDATA)/SUMPRODUCT((W_CKDATE&gt;F$31)*(W_CKDATE&lt;=G$31)*ISNUMBER(W_CKDATA)*W_INTYPE),""),"")</f>
        <v/>
      </c>
      <c r="H35" s="302" t="str">
        <f>IF(ISNUMBER(H$30),IFERROR(SUMPRODUCT((W_CKDATE&gt;G$31)*(W_CKDATE&lt;=H$31)*ISNUMBER(W_CKDATA)*W_INTYPE,W_CKDATA)/SUMPRODUCT((W_CKDATE&gt;G$31)*(W_CKDATE&lt;=H$31)*ISNUMBER(W_CKDATA)*W_INTYPE),""),"")</f>
        <v/>
      </c>
      <c r="I35" s="302" t="str">
        <f>IF(ISNUMBER(I$30),IFERROR(SUMPRODUCT((W_CKDATE&gt;H$31)*(W_CKDATE&lt;=I$31)*ISNUMBER(W_CKDATA)*W_INTYPE,W_CKDATA)/SUMPRODUCT((W_CKDATE&gt;H$31)*(W_CKDATE&lt;=I$31)*ISNUMBER(W_CKDATA)*W_INTYPE),""),"")</f>
        <v/>
      </c>
      <c r="J35" s="302" t="str">
        <f>IF(ISNUMBER(J$30),IFERROR(SUMPRODUCT((W_CKDATE&gt;I$31)*(W_CKDATE&lt;=J$31)*ISNUMBER(W_CKDATA)*W_INTYPE,W_CKDATA)/SUMPRODUCT((W_CKDATE&gt;I$31)*(W_CKDATE&lt;=J$31)*ISNUMBER(W_CKDATA)*W_INTYPE),""),"")</f>
        <v/>
      </c>
      <c r="K35" s="302" t="str">
        <f>IF(ISNUMBER(K$30),IFERROR(SUMPRODUCT((W_CKDATE&gt;J$31)*(W_CKDATE&lt;=K$31)*ISNUMBER(W_CKDATA)*W_INTYPE,W_CKDATA)/SUMPRODUCT((W_CKDATE&gt;J$31)*(W_CKDATE&lt;=K$31)*ISNUMBER(W_CKDATA)*W_INTYPE),""),"")</f>
        <v/>
      </c>
      <c r="L35" s="302" t="str">
        <f>IF(ISNUMBER(L$30),IFERROR(SUMPRODUCT((W_CKDATE&gt;K$31)*(W_CKDATE&lt;=L$31)*ISNUMBER(W_CKDATA)*W_INTYPE,W_CKDATA)/SUMPRODUCT((W_CKDATE&gt;K$31)*(W_CKDATE&lt;=L$31)*ISNUMBER(W_CKDATA)*W_INTYPE),""),"")</f>
        <v/>
      </c>
      <c r="M35" s="302" t="str">
        <f>IF(ISNUMBER(M$30),IFERROR(SUMPRODUCT((W_CKDATE&gt;L$31)*(W_CKDATE&lt;=M$31)*ISNUMBER(W_CKDATA)*W_INTYPE,W_CKDATA)/SUMPRODUCT((W_CKDATE&gt;L$31)*(W_CKDATE&lt;=M$31)*ISNUMBER(W_CKDATA)*W_INTYPE),""),"")</f>
        <v/>
      </c>
      <c r="N35" s="302" t="str">
        <f>IF(ISNUMBER(N$30),IFERROR(SUMPRODUCT((W_CKDATE&gt;M$31)*(W_CKDATE&lt;=N$31)*ISNUMBER(W_CKDATA)*W_INTYPE,W_CKDATA)/SUMPRODUCT((W_CKDATE&gt;M$31)*(W_CKDATE&lt;=N$31)*ISNUMBER(W_CKDATA)*W_INTYPE),""),"")</f>
        <v/>
      </c>
      <c r="O35" s="302" t="str">
        <f>IF(ISNUMBER(O$30),IFERROR(SUMPRODUCT((W_CKDATE&gt;N$31)*(W_CKDATE&lt;=O$31)*ISNUMBER(W_CKDATA)*W_INTYPE,W_CKDATA)/SUMPRODUCT((W_CKDATE&gt;N$31)*(W_CKDATE&lt;=O$31)*ISNUMBER(W_CKDATA)*W_INTYPE),""),"")</f>
        <v/>
      </c>
      <c r="P35" s="302" t="str">
        <f>IF(ISNUMBER(P$30),IFERROR(SUMPRODUCT((W_CKDATE&gt;O$31)*(W_CKDATE&lt;=P$31)*ISNUMBER(W_CKDATA)*W_INTYPE,W_CKDATA)/SUMPRODUCT((W_CKDATE&gt;O$31)*(W_CKDATE&lt;=P$31)*ISNUMBER(W_CKDATA)*W_INTYPE),""),"")</f>
        <v/>
      </c>
      <c r="Q35" s="177"/>
    </row>
    <row r="36" spans="2:17" s="187" customFormat="1" x14ac:dyDescent="0.2">
      <c r="B36" s="266"/>
      <c r="C36" s="267" t="s">
        <v>359</v>
      </c>
      <c r="D36" s="301" t="str">
        <f>Baseline!D4</f>
        <v/>
      </c>
      <c r="E36" s="302" t="str">
        <f>IF(ISNUMBER(E$30),IFERROR(SUMPRODUCT((B_CKDATE&gt;D$31)*(B_CKDATE&lt;=E$31)*ISNUMBER(B_CKDATA)*B_INTYPE,B_CKDATA)/SUMPRODUCT((B_CKDATE&gt;D$31)*(B_CKDATE&lt;=E$31)*ISNUMBER(B_CKDATA)*B_INTYPE),""),"")</f>
        <v/>
      </c>
      <c r="F36" s="302" t="str">
        <f>IF(ISNUMBER(F$30),IFERROR(SUMPRODUCT((B_CKDATE&gt;E$31)*(B_CKDATE&lt;=F$31)*ISNUMBER(B_CKDATA)*B_INTYPE,B_CKDATA)/SUMPRODUCT((B_CKDATE&gt;E$31)*(B_CKDATE&lt;=F$31)*ISNUMBER(B_CKDATA)*B_INTYPE),""),"")</f>
        <v/>
      </c>
      <c r="G36" s="302" t="str">
        <f>IF(ISNUMBER(G$30),IFERROR(SUMPRODUCT((B_CKDATE&gt;F$31)*(B_CKDATE&lt;=G$31)*ISNUMBER(B_CKDATA)*B_INTYPE,B_CKDATA)/SUMPRODUCT((B_CKDATE&gt;F$31)*(B_CKDATE&lt;=G$31)*ISNUMBER(B_CKDATA)*B_INTYPE),""),"")</f>
        <v/>
      </c>
      <c r="H36" s="302" t="str">
        <f>IF(ISNUMBER(H$30),IFERROR(SUMPRODUCT((B_CKDATE&gt;G$31)*(B_CKDATE&lt;=H$31)*ISNUMBER(B_CKDATA)*B_INTYPE,B_CKDATA)/SUMPRODUCT((B_CKDATE&gt;G$31)*(B_CKDATE&lt;=H$31)*ISNUMBER(B_CKDATA)*B_INTYPE),""),"")</f>
        <v/>
      </c>
      <c r="I36" s="302" t="str">
        <f>IF(ISNUMBER(I$30),IFERROR(SUMPRODUCT((B_CKDATE&gt;H$31)*(B_CKDATE&lt;=I$31)*ISNUMBER(B_CKDATA)*B_INTYPE,B_CKDATA)/SUMPRODUCT((B_CKDATE&gt;H$31)*(B_CKDATE&lt;=I$31)*ISNUMBER(B_CKDATA)*B_INTYPE),""),"")</f>
        <v/>
      </c>
      <c r="J36" s="302" t="str">
        <f>IF(ISNUMBER(J$30),IFERROR(SUMPRODUCT((B_CKDATE&gt;I$31)*(B_CKDATE&lt;=J$31)*ISNUMBER(B_CKDATA)*B_INTYPE,B_CKDATA)/SUMPRODUCT((B_CKDATE&gt;I$31)*(B_CKDATE&lt;=J$31)*ISNUMBER(B_CKDATA)*B_INTYPE),""),"")</f>
        <v/>
      </c>
      <c r="K36" s="302" t="str">
        <f>IF(ISNUMBER(K$30),IFERROR(SUMPRODUCT((B_CKDATE&gt;J$31)*(B_CKDATE&lt;=K$31)*ISNUMBER(B_CKDATA)*B_INTYPE,B_CKDATA)/SUMPRODUCT((B_CKDATE&gt;J$31)*(B_CKDATE&lt;=K$31)*ISNUMBER(B_CKDATA)*B_INTYPE),""),"")</f>
        <v/>
      </c>
      <c r="L36" s="302" t="str">
        <f>IF(ISNUMBER(L$30),IFERROR(SUMPRODUCT((B_CKDATE&gt;K$31)*(B_CKDATE&lt;=L$31)*ISNUMBER(B_CKDATA)*B_INTYPE,B_CKDATA)/SUMPRODUCT((B_CKDATE&gt;K$31)*(B_CKDATE&lt;=L$31)*ISNUMBER(B_CKDATA)*B_INTYPE),""),"")</f>
        <v/>
      </c>
      <c r="M36" s="302" t="str">
        <f>IF(ISNUMBER(M$30),IFERROR(SUMPRODUCT((B_CKDATE&gt;L$31)*(B_CKDATE&lt;=M$31)*ISNUMBER(B_CKDATA)*B_INTYPE,B_CKDATA)/SUMPRODUCT((B_CKDATE&gt;L$31)*(B_CKDATE&lt;=M$31)*ISNUMBER(B_CKDATA)*B_INTYPE),""),"")</f>
        <v/>
      </c>
      <c r="N36" s="302" t="str">
        <f>IF(ISNUMBER(N$30),IFERROR(SUMPRODUCT((B_CKDATE&gt;M$31)*(B_CKDATE&lt;=N$31)*ISNUMBER(B_CKDATA)*B_INTYPE,B_CKDATA)/SUMPRODUCT((B_CKDATE&gt;M$31)*(B_CKDATE&lt;=N$31)*ISNUMBER(B_CKDATA)*B_INTYPE),""),"")</f>
        <v/>
      </c>
      <c r="O36" s="302" t="str">
        <f>IF(ISNUMBER(O$30),IFERROR(SUMPRODUCT((B_CKDATE&gt;N$31)*(B_CKDATE&lt;=O$31)*ISNUMBER(B_CKDATA)*B_INTYPE,B_CKDATA)/SUMPRODUCT((B_CKDATE&gt;N$31)*(B_CKDATE&lt;=O$31)*ISNUMBER(B_CKDATA)*B_INTYPE),""),"")</f>
        <v/>
      </c>
      <c r="P36" s="302" t="str">
        <f>IF(ISNUMBER(P$30),IFERROR(SUMPRODUCT((B_CKDATE&gt;O$31)*(B_CKDATE&lt;=P$31)*ISNUMBER(B_CKDATA)*B_INTYPE,B_CKDATA)/SUMPRODUCT((B_CKDATE&gt;O$31)*(B_CKDATE&lt;=P$31)*ISNUMBER(B_CKDATA)*B_INTYPE),""),"")</f>
        <v/>
      </c>
      <c r="Q36" s="177"/>
    </row>
    <row r="37" spans="2:17" s="187" customFormat="1" x14ac:dyDescent="0.2">
      <c r="B37" s="266"/>
      <c r="C37" s="267" t="s">
        <v>360</v>
      </c>
      <c r="D37" s="301" t="str">
        <f>Closing!D4</f>
        <v/>
      </c>
      <c r="E37" s="302" t="str">
        <f>IF(ISNUMBER(E$30),IFERROR(SUMPRODUCT((C_CKDATE&gt;D$31)*(C_CKDATE&lt;=E$31)*ISNUMBER(C_CKDATA)*C_INTYPE,C_CKDATA)/SUMPRODUCT((C_CKDATE&gt;D$31)*(C_CKDATE&lt;=E$31)*ISNUMBER(C_CKDATA)*C_INTYPE),""),"")</f>
        <v/>
      </c>
      <c r="F37" s="302" t="str">
        <f>IF(ISNUMBER(F$30),IFERROR(SUMPRODUCT((C_CKDATE&gt;E$31)*(C_CKDATE&lt;=F$31)*ISNUMBER(C_CKDATA)*C_INTYPE,C_CKDATA)/SUMPRODUCT((C_CKDATE&gt;E$31)*(C_CKDATE&lt;=F$31)*ISNUMBER(C_CKDATA)*C_INTYPE),""),"")</f>
        <v/>
      </c>
      <c r="G37" s="302" t="str">
        <f>IF(ISNUMBER(G$30),IFERROR(SUMPRODUCT((C_CKDATE&gt;F$31)*(C_CKDATE&lt;=G$31)*ISNUMBER(C_CKDATA)*C_INTYPE,C_CKDATA)/SUMPRODUCT((C_CKDATE&gt;F$31)*(C_CKDATE&lt;=G$31)*ISNUMBER(C_CKDATA)*C_INTYPE),""),"")</f>
        <v/>
      </c>
      <c r="H37" s="302" t="str">
        <f>IF(ISNUMBER(H$30),IFERROR(SUMPRODUCT((C_CKDATE&gt;G$31)*(C_CKDATE&lt;=H$31)*ISNUMBER(C_CKDATA)*C_INTYPE,C_CKDATA)/SUMPRODUCT((C_CKDATE&gt;G$31)*(C_CKDATE&lt;=H$31)*ISNUMBER(C_CKDATA)*C_INTYPE),""),"")</f>
        <v/>
      </c>
      <c r="I37" s="302" t="str">
        <f>IF(ISNUMBER(I$30),IFERROR(SUMPRODUCT((C_CKDATE&gt;H$31)*(C_CKDATE&lt;=I$31)*ISNUMBER(C_CKDATA)*C_INTYPE,C_CKDATA)/SUMPRODUCT((C_CKDATE&gt;H$31)*(C_CKDATE&lt;=I$31)*ISNUMBER(C_CKDATA)*C_INTYPE),""),"")</f>
        <v/>
      </c>
      <c r="J37" s="302" t="str">
        <f>IF(ISNUMBER(J$30),IFERROR(SUMPRODUCT((C_CKDATE&gt;I$31)*(C_CKDATE&lt;=J$31)*ISNUMBER(C_CKDATA)*C_INTYPE,C_CKDATA)/SUMPRODUCT((C_CKDATE&gt;I$31)*(C_CKDATE&lt;=J$31)*ISNUMBER(C_CKDATA)*C_INTYPE),""),"")</f>
        <v/>
      </c>
      <c r="K37" s="302" t="str">
        <f>IF(ISNUMBER(K$30),IFERROR(SUMPRODUCT((C_CKDATE&gt;J$31)*(C_CKDATE&lt;=K$31)*ISNUMBER(C_CKDATA)*C_INTYPE,C_CKDATA)/SUMPRODUCT((C_CKDATE&gt;J$31)*(C_CKDATE&lt;=K$31)*ISNUMBER(C_CKDATA)*C_INTYPE),""),"")</f>
        <v/>
      </c>
      <c r="L37" s="302" t="str">
        <f>IF(ISNUMBER(L$30),IFERROR(SUMPRODUCT((C_CKDATE&gt;K$31)*(C_CKDATE&lt;=L$31)*ISNUMBER(C_CKDATA)*C_INTYPE,C_CKDATA)/SUMPRODUCT((C_CKDATE&gt;K$31)*(C_CKDATE&lt;=L$31)*ISNUMBER(C_CKDATA)*C_INTYPE),""),"")</f>
        <v/>
      </c>
      <c r="M37" s="302" t="str">
        <f>IF(ISNUMBER(M$30),IFERROR(SUMPRODUCT((C_CKDATE&gt;L$31)*(C_CKDATE&lt;=M$31)*ISNUMBER(C_CKDATA)*C_INTYPE,C_CKDATA)/SUMPRODUCT((C_CKDATE&gt;L$31)*(C_CKDATE&lt;=M$31)*ISNUMBER(C_CKDATA)*C_INTYPE),""),"")</f>
        <v/>
      </c>
      <c r="N37" s="302" t="str">
        <f>IF(ISNUMBER(N$30),IFERROR(SUMPRODUCT((C_CKDATE&gt;M$31)*(C_CKDATE&lt;=N$31)*ISNUMBER(C_CKDATA)*C_INTYPE,C_CKDATA)/SUMPRODUCT((C_CKDATE&gt;M$31)*(C_CKDATE&lt;=N$31)*ISNUMBER(C_CKDATA)*C_INTYPE),""),"")</f>
        <v/>
      </c>
      <c r="O37" s="302" t="str">
        <f>IF(ISNUMBER(O$30),IFERROR(SUMPRODUCT((C_CKDATE&gt;N$31)*(C_CKDATE&lt;=O$31)*ISNUMBER(C_CKDATA)*C_INTYPE,C_CKDATA)/SUMPRODUCT((C_CKDATE&gt;N$31)*(C_CKDATE&lt;=O$31)*ISNUMBER(C_CKDATA)*C_INTYPE),""),"")</f>
        <v/>
      </c>
      <c r="P37" s="302" t="str">
        <f>IF(ISNUMBER(P$30),IFERROR(SUMPRODUCT((C_CKDATE&gt;O$31)*(C_CKDATE&lt;=P$31)*ISNUMBER(C_CKDATA)*C_INTYPE,C_CKDATA)/SUMPRODUCT((C_CKDATE&gt;O$31)*(C_CKDATE&lt;=P$31)*ISNUMBER(C_CKDATA)*C_INTYPE),""),"")</f>
        <v/>
      </c>
      <c r="Q37" s="177"/>
    </row>
    <row r="38" spans="2:17" s="273" customFormat="1" x14ac:dyDescent="0.2">
      <c r="B38" s="468" t="s">
        <v>434</v>
      </c>
      <c r="C38" s="468"/>
      <c r="D38" s="301" t="str">
        <f>IFERROR((SUMPRODUCT(ISNUMBER(P_CKDATE)*ISNUMBER(P_CKDATA)*P_PM*P_INTYPE,P_CKDATA)+SUMPRODUCT(ISNUMBER(M_CKDATE)*ISNUMBER(M_CKDATA)*M_PM*M_INTYPE,M_CKDATA)+SUMPRODUCT(ISNUMBER(W_CKDATE)*ISNUMBER(W_CKDATA)*W_PM*W_INTYPE,W_CKDATA)+SUMPRODUCT(ISNUMBER(B_CKDATE)*ISNUMBER(B_CKDATA)*B_PM*B_INTYPE,B_CKDATA)+SUMPRODUCT(ISNUMBER(C_CKDATE)*ISNUMBER(C_CKDATA)*C_PM*C_INTYPE,C_CKDATA))/(SUMPRODUCT(ISNUMBER(P_CKDATE)*ISNUMBER(P_CKDATA)*P_PM*P_INTYPE)+SUMPRODUCT(ISNUMBER(M_CKDATE)*ISNUMBER(M_CKDATA)*M_PM*M_INTYPE)+SUMPRODUCT(ISNUMBER(W_CKDATE)*ISNUMBER(W_CKDATA)*W_PM*W_INTYPE)+SUMPRODUCT(ISNUMBER(B_CKDATE)*ISNUMBER(B_CKDATA)*B_PM*B_INTYPE)+SUMPRODUCT(ISNUMBER(C_CKDATE)*ISNUMBER(C_CKDATA)*C_PM*C_INTYPE)),"")</f>
        <v/>
      </c>
      <c r="E38" s="301" t="str">
        <f>IF(ISNUMBER(E$30),IFERROR((SUMPRODUCT((P_CKDATE&gt;D$31)*(P_CKDATE&lt;=E$31)*ISNUMBER(P_CKDATA)*P_PM*P_INTYPE,P_CKDATA)+SUMPRODUCT((M_CKDATE&gt;D$31)*(M_CKDATE&lt;=E$31)*ISNUMBER(M_CKDATA)*M_PM*M_INTYPE,M_CKDATA)+SUMPRODUCT((W_CKDATE&gt;D$31)*(W_CKDATE&lt;=E$31)*ISNUMBER(W_CKDATA)*W_PM*W_INTYPE,W_CKDATA)+SUMPRODUCT((B_CKDATE&gt;D$31)*(B_CKDATE&lt;=E$31)*ISNUMBER(B_CKDATA)*B_PM*B_INTYPE,B_CKDATA)+SUMPRODUCT((C_CKDATE&gt;D$31)*(C_CKDATE&lt;=E$31)*ISNUMBER(C_CKDATA)*C_PM*C_INTYPE,C_CKDATA))/(SUMPRODUCT((P_CKDATE&gt;D$31)*(P_CKDATE&lt;=E$31)*ISNUMBER(P_CKDATA)*P_PM*P_INTYPE)+SUMPRODUCT((M_CKDATE&gt;D$31)*(M_CKDATE&lt;=E$31)*ISNUMBER(M_CKDATA)*M_PM*M_INTYPE)+SUMPRODUCT((W_CKDATE&gt;D$31)*(W_CKDATE&lt;=E$31)*ISNUMBER(W_CKDATA)*W_PM*W_INTYPE)+SUMPRODUCT((B_CKDATE&gt;D$31)*(B_CKDATE&lt;=E$31)*ISNUMBER(B_CKDATA)*B_PM*B_INTYPE)+SUMPRODUCT((C_CKDATE&gt;D$31)*(C_CKDATE&lt;=E$31)*ISNUMBER(C_CKDATA)*C_PM*C_INTYPE)),""),"")</f>
        <v/>
      </c>
      <c r="F38" s="301" t="str">
        <f>IF(ISNUMBER(F$30),IFERROR((SUMPRODUCT((P_CKDATE&gt;E$31)*(P_CKDATE&lt;=F$31)*ISNUMBER(P_CKDATA)*P_PM*P_INTYPE,P_CKDATA)+SUMPRODUCT((M_CKDATE&gt;E$31)*(M_CKDATE&lt;=F$31)*ISNUMBER(M_CKDATA)*M_PM*M_INTYPE,M_CKDATA)+SUMPRODUCT((W_CKDATE&gt;E$31)*(W_CKDATE&lt;=F$31)*ISNUMBER(W_CKDATA)*W_PM*W_INTYPE,W_CKDATA)+SUMPRODUCT((B_CKDATE&gt;E$31)*(B_CKDATE&lt;=F$31)*ISNUMBER(B_CKDATA)*B_PM*B_INTYPE,B_CKDATA)+SUMPRODUCT((C_CKDATE&gt;E$31)*(C_CKDATE&lt;=F$31)*ISNUMBER(C_CKDATA)*C_PM*C_INTYPE,C_CKDATA))/(SUMPRODUCT((P_CKDATE&gt;E$31)*(P_CKDATE&lt;=F$31)*ISNUMBER(P_CKDATA)*P_PM*P_INTYPE)+SUMPRODUCT((M_CKDATE&gt;E$31)*(M_CKDATE&lt;=F$31)*ISNUMBER(M_CKDATA)*M_PM*M_INTYPE)+SUMPRODUCT((W_CKDATE&gt;E$31)*(W_CKDATE&lt;=F$31)*ISNUMBER(W_CKDATA)*W_PM*W_INTYPE)+SUMPRODUCT((B_CKDATE&gt;E$31)*(B_CKDATE&lt;=F$31)*ISNUMBER(B_CKDATA)*B_PM*B_INTYPE)+SUMPRODUCT((C_CKDATE&gt;E$31)*(C_CKDATE&lt;=F$31)*ISNUMBER(C_CKDATA)*C_PM*C_INTYPE)),""),"")</f>
        <v/>
      </c>
      <c r="G38" s="301" t="str">
        <f>IF(ISNUMBER(G$30),IFERROR((SUMPRODUCT((P_CKDATE&gt;F$31)*(P_CKDATE&lt;=G$31)*ISNUMBER(P_CKDATA)*P_PM*P_INTYPE,P_CKDATA)+SUMPRODUCT((M_CKDATE&gt;F$31)*(M_CKDATE&lt;=G$31)*ISNUMBER(M_CKDATA)*M_PM*M_INTYPE,M_CKDATA)+SUMPRODUCT((W_CKDATE&gt;F$31)*(W_CKDATE&lt;=G$31)*ISNUMBER(W_CKDATA)*W_PM*W_INTYPE,W_CKDATA)+SUMPRODUCT((B_CKDATE&gt;F$31)*(B_CKDATE&lt;=G$31)*ISNUMBER(B_CKDATA)*B_PM*B_INTYPE,B_CKDATA)+SUMPRODUCT((C_CKDATE&gt;F$31)*(C_CKDATE&lt;=G$31)*ISNUMBER(C_CKDATA)*C_PM*C_INTYPE,C_CKDATA))/(SUMPRODUCT((P_CKDATE&gt;F$31)*(P_CKDATE&lt;=G$31)*ISNUMBER(P_CKDATA)*P_PM*P_INTYPE)+SUMPRODUCT((M_CKDATE&gt;F$31)*(M_CKDATE&lt;=G$31)*ISNUMBER(M_CKDATA)*M_PM*M_INTYPE)+SUMPRODUCT((W_CKDATE&gt;F$31)*(W_CKDATE&lt;=G$31)*ISNUMBER(W_CKDATA)*W_PM*W_INTYPE)+SUMPRODUCT((B_CKDATE&gt;F$31)*(B_CKDATE&lt;=G$31)*ISNUMBER(B_CKDATA)*B_PM*B_INTYPE)+SUMPRODUCT((C_CKDATE&gt;F$31)*(C_CKDATE&lt;=G$31)*ISNUMBER(C_CKDATA)*C_PM*C_INTYPE)),""),"")</f>
        <v/>
      </c>
      <c r="H38" s="301" t="str">
        <f>IF(ISNUMBER(H$30),IFERROR((SUMPRODUCT((P_CKDATE&gt;G$31)*(P_CKDATE&lt;=H$31)*ISNUMBER(P_CKDATA)*P_PM*P_INTYPE,P_CKDATA)+SUMPRODUCT((M_CKDATE&gt;G$31)*(M_CKDATE&lt;=H$31)*ISNUMBER(M_CKDATA)*M_PM*M_INTYPE,M_CKDATA)+SUMPRODUCT((W_CKDATE&gt;G$31)*(W_CKDATE&lt;=H$31)*ISNUMBER(W_CKDATA)*W_PM*W_INTYPE,W_CKDATA)+SUMPRODUCT((B_CKDATE&gt;G$31)*(B_CKDATE&lt;=H$31)*ISNUMBER(B_CKDATA)*B_PM*B_INTYPE,B_CKDATA)+SUMPRODUCT((C_CKDATE&gt;G$31)*(C_CKDATE&lt;=H$31)*ISNUMBER(C_CKDATA)*C_PM*C_INTYPE,C_CKDATA))/(SUMPRODUCT((P_CKDATE&gt;G$31)*(P_CKDATE&lt;=H$31)*ISNUMBER(P_CKDATA)*P_PM*P_INTYPE)+SUMPRODUCT((M_CKDATE&gt;G$31)*(M_CKDATE&lt;=H$31)*ISNUMBER(M_CKDATA)*M_PM*M_INTYPE)+SUMPRODUCT((W_CKDATE&gt;G$31)*(W_CKDATE&lt;=H$31)*ISNUMBER(W_CKDATA)*W_PM*W_INTYPE)+SUMPRODUCT((B_CKDATE&gt;G$31)*(B_CKDATE&lt;=H$31)*ISNUMBER(B_CKDATA)*B_PM*B_INTYPE)+SUMPRODUCT((C_CKDATE&gt;G$31)*(C_CKDATE&lt;=H$31)*ISNUMBER(C_CKDATA)*C_PM*C_INTYPE)),""),"")</f>
        <v/>
      </c>
      <c r="I38" s="301" t="str">
        <f>IF(ISNUMBER(I$30),IFERROR((SUMPRODUCT((P_CKDATE&gt;H$31)*(P_CKDATE&lt;=I$31)*ISNUMBER(P_CKDATA)*P_PM*P_INTYPE,P_CKDATA)+SUMPRODUCT((M_CKDATE&gt;H$31)*(M_CKDATE&lt;=I$31)*ISNUMBER(M_CKDATA)*M_PM*M_INTYPE,M_CKDATA)+SUMPRODUCT((W_CKDATE&gt;H$31)*(W_CKDATE&lt;=I$31)*ISNUMBER(W_CKDATA)*W_PM*W_INTYPE,W_CKDATA)+SUMPRODUCT((B_CKDATE&gt;H$31)*(B_CKDATE&lt;=I$31)*ISNUMBER(B_CKDATA)*B_PM*B_INTYPE,B_CKDATA)+SUMPRODUCT((C_CKDATE&gt;H$31)*(C_CKDATE&lt;=I$31)*ISNUMBER(C_CKDATA)*C_PM*C_INTYPE,C_CKDATA))/(SUMPRODUCT((P_CKDATE&gt;H$31)*(P_CKDATE&lt;=I$31)*ISNUMBER(P_CKDATA)*P_PM*P_INTYPE)+SUMPRODUCT((M_CKDATE&gt;H$31)*(M_CKDATE&lt;=I$31)*ISNUMBER(M_CKDATA)*M_PM*M_INTYPE)+SUMPRODUCT((W_CKDATE&gt;H$31)*(W_CKDATE&lt;=I$31)*ISNUMBER(W_CKDATA)*W_PM*W_INTYPE)+SUMPRODUCT((B_CKDATE&gt;H$31)*(B_CKDATE&lt;=I$31)*ISNUMBER(B_CKDATA)*B_PM*B_INTYPE)+SUMPRODUCT((C_CKDATE&gt;H$31)*(C_CKDATE&lt;=I$31)*ISNUMBER(C_CKDATA)*C_PM*C_INTYPE)),""),"")</f>
        <v/>
      </c>
      <c r="J38" s="301" t="str">
        <f>IF(ISNUMBER(J$30),IFERROR((SUMPRODUCT((P_CKDATE&gt;I$31)*(P_CKDATE&lt;=J$31)*ISNUMBER(P_CKDATA)*P_PM*P_INTYPE,P_CKDATA)+SUMPRODUCT((M_CKDATE&gt;I$31)*(M_CKDATE&lt;=J$31)*ISNUMBER(M_CKDATA)*M_PM*M_INTYPE,M_CKDATA)+SUMPRODUCT((W_CKDATE&gt;I$31)*(W_CKDATE&lt;=J$31)*ISNUMBER(W_CKDATA)*W_PM*W_INTYPE,W_CKDATA)+SUMPRODUCT((B_CKDATE&gt;I$31)*(B_CKDATE&lt;=J$31)*ISNUMBER(B_CKDATA)*B_PM*B_INTYPE,B_CKDATA)+SUMPRODUCT((C_CKDATE&gt;I$31)*(C_CKDATE&lt;=J$31)*ISNUMBER(C_CKDATA)*C_PM*C_INTYPE,C_CKDATA))/(SUMPRODUCT((P_CKDATE&gt;I$31)*(P_CKDATE&lt;=J$31)*ISNUMBER(P_CKDATA)*P_PM*P_INTYPE)+SUMPRODUCT((M_CKDATE&gt;I$31)*(M_CKDATE&lt;=J$31)*ISNUMBER(M_CKDATA)*M_PM*M_INTYPE)+SUMPRODUCT((W_CKDATE&gt;I$31)*(W_CKDATE&lt;=J$31)*ISNUMBER(W_CKDATA)*W_PM*W_INTYPE)+SUMPRODUCT((B_CKDATE&gt;I$31)*(B_CKDATE&lt;=J$31)*ISNUMBER(B_CKDATA)*B_PM*B_INTYPE)+SUMPRODUCT((C_CKDATE&gt;I$31)*(C_CKDATE&lt;=J$31)*ISNUMBER(C_CKDATA)*C_PM*C_INTYPE)),""),"")</f>
        <v/>
      </c>
      <c r="K38" s="301" t="str">
        <f>IF(ISNUMBER(K$30),IFERROR((SUMPRODUCT((P_CKDATE&gt;J$31)*(P_CKDATE&lt;=K$31)*ISNUMBER(P_CKDATA)*P_PM*P_INTYPE,P_CKDATA)+SUMPRODUCT((M_CKDATE&gt;J$31)*(M_CKDATE&lt;=K$31)*ISNUMBER(M_CKDATA)*M_PM*M_INTYPE,M_CKDATA)+SUMPRODUCT((W_CKDATE&gt;J$31)*(W_CKDATE&lt;=K$31)*ISNUMBER(W_CKDATA)*W_PM*W_INTYPE,W_CKDATA)+SUMPRODUCT((B_CKDATE&gt;J$31)*(B_CKDATE&lt;=K$31)*ISNUMBER(B_CKDATA)*B_PM*B_INTYPE,B_CKDATA)+SUMPRODUCT((C_CKDATE&gt;J$31)*(C_CKDATE&lt;=K$31)*ISNUMBER(C_CKDATA)*C_PM*C_INTYPE,C_CKDATA))/(SUMPRODUCT((P_CKDATE&gt;J$31)*(P_CKDATE&lt;=K$31)*ISNUMBER(P_CKDATA)*P_PM*P_INTYPE)+SUMPRODUCT((M_CKDATE&gt;J$31)*(M_CKDATE&lt;=K$31)*ISNUMBER(M_CKDATA)*M_PM*M_INTYPE)+SUMPRODUCT((W_CKDATE&gt;J$31)*(W_CKDATE&lt;=K$31)*ISNUMBER(W_CKDATA)*W_PM*W_INTYPE)+SUMPRODUCT((B_CKDATE&gt;J$31)*(B_CKDATE&lt;=K$31)*ISNUMBER(B_CKDATA)*B_PM*B_INTYPE)+SUMPRODUCT((C_CKDATE&gt;J$31)*(C_CKDATE&lt;=K$31)*ISNUMBER(C_CKDATA)*C_PM*C_INTYPE)),""),"")</f>
        <v/>
      </c>
      <c r="L38" s="301" t="str">
        <f>IF(ISNUMBER(L$30),IFERROR((SUMPRODUCT((P_CKDATE&gt;K$31)*(P_CKDATE&lt;=L$31)*ISNUMBER(P_CKDATA)*P_PM*P_INTYPE,P_CKDATA)+SUMPRODUCT((M_CKDATE&gt;K$31)*(M_CKDATE&lt;=L$31)*ISNUMBER(M_CKDATA)*M_PM*M_INTYPE,M_CKDATA)+SUMPRODUCT((W_CKDATE&gt;K$31)*(W_CKDATE&lt;=L$31)*ISNUMBER(W_CKDATA)*W_PM*W_INTYPE,W_CKDATA)+SUMPRODUCT((B_CKDATE&gt;K$31)*(B_CKDATE&lt;=L$31)*ISNUMBER(B_CKDATA)*B_PM*B_INTYPE,B_CKDATA)+SUMPRODUCT((C_CKDATE&gt;K$31)*(C_CKDATE&lt;=L$31)*ISNUMBER(C_CKDATA)*C_PM*C_INTYPE,C_CKDATA))/(SUMPRODUCT((P_CKDATE&gt;K$31)*(P_CKDATE&lt;=L$31)*ISNUMBER(P_CKDATA)*P_PM*P_INTYPE)+SUMPRODUCT((M_CKDATE&gt;K$31)*(M_CKDATE&lt;=L$31)*ISNUMBER(M_CKDATA)*M_PM*M_INTYPE)+SUMPRODUCT((W_CKDATE&gt;K$31)*(W_CKDATE&lt;=L$31)*ISNUMBER(W_CKDATA)*W_PM*W_INTYPE)+SUMPRODUCT((B_CKDATE&gt;K$31)*(B_CKDATE&lt;=L$31)*ISNUMBER(B_CKDATA)*B_PM*B_INTYPE)+SUMPRODUCT((C_CKDATE&gt;K$31)*(C_CKDATE&lt;=L$31)*ISNUMBER(C_CKDATA)*C_PM*C_INTYPE)),""),"")</f>
        <v/>
      </c>
      <c r="M38" s="301" t="str">
        <f>IF(ISNUMBER(M$30),IFERROR((SUMPRODUCT((P_CKDATE&gt;L$31)*(P_CKDATE&lt;=M$31)*ISNUMBER(P_CKDATA)*P_PM*P_INTYPE,P_CKDATA)+SUMPRODUCT((M_CKDATE&gt;L$31)*(M_CKDATE&lt;=M$31)*ISNUMBER(M_CKDATA)*M_PM*M_INTYPE,M_CKDATA)+SUMPRODUCT((W_CKDATE&gt;L$31)*(W_CKDATE&lt;=M$31)*ISNUMBER(W_CKDATA)*W_PM*W_INTYPE,W_CKDATA)+SUMPRODUCT((B_CKDATE&gt;L$31)*(B_CKDATE&lt;=M$31)*ISNUMBER(B_CKDATA)*B_PM*B_INTYPE,B_CKDATA)+SUMPRODUCT((C_CKDATE&gt;L$31)*(C_CKDATE&lt;=M$31)*ISNUMBER(C_CKDATA)*C_PM*C_INTYPE,C_CKDATA))/(SUMPRODUCT((P_CKDATE&gt;L$31)*(P_CKDATE&lt;=M$31)*ISNUMBER(P_CKDATA)*P_PM*P_INTYPE)+SUMPRODUCT((M_CKDATE&gt;L$31)*(M_CKDATE&lt;=M$31)*ISNUMBER(M_CKDATA)*M_PM*M_INTYPE)+SUMPRODUCT((W_CKDATE&gt;L$31)*(W_CKDATE&lt;=M$31)*ISNUMBER(W_CKDATA)*W_PM*W_INTYPE)+SUMPRODUCT((B_CKDATE&gt;L$31)*(B_CKDATE&lt;=M$31)*ISNUMBER(B_CKDATA)*B_PM*B_INTYPE)+SUMPRODUCT((C_CKDATE&gt;L$31)*(C_CKDATE&lt;=M$31)*ISNUMBER(C_CKDATA)*C_PM*C_INTYPE)),""),"")</f>
        <v/>
      </c>
      <c r="N38" s="301" t="str">
        <f>IF(ISNUMBER(N$30),IFERROR((SUMPRODUCT((P_CKDATE&gt;M$31)*(P_CKDATE&lt;=N$31)*ISNUMBER(P_CKDATA)*P_PM*P_INTYPE,P_CKDATA)+SUMPRODUCT((M_CKDATE&gt;M$31)*(M_CKDATE&lt;=N$31)*ISNUMBER(M_CKDATA)*M_PM*M_INTYPE,M_CKDATA)+SUMPRODUCT((W_CKDATE&gt;M$31)*(W_CKDATE&lt;=N$31)*ISNUMBER(W_CKDATA)*W_PM*W_INTYPE,W_CKDATA)+SUMPRODUCT((B_CKDATE&gt;M$31)*(B_CKDATE&lt;=N$31)*ISNUMBER(B_CKDATA)*B_PM*B_INTYPE,B_CKDATA)+SUMPRODUCT((C_CKDATE&gt;M$31)*(C_CKDATE&lt;=N$31)*ISNUMBER(C_CKDATA)*C_PM*C_INTYPE,C_CKDATA))/(SUMPRODUCT((P_CKDATE&gt;M$31)*(P_CKDATE&lt;=N$31)*ISNUMBER(P_CKDATA)*P_PM*P_INTYPE)+SUMPRODUCT((M_CKDATE&gt;M$31)*(M_CKDATE&lt;=N$31)*ISNUMBER(M_CKDATA)*M_PM*M_INTYPE)+SUMPRODUCT((W_CKDATE&gt;M$31)*(W_CKDATE&lt;=N$31)*ISNUMBER(W_CKDATA)*W_PM*W_INTYPE)+SUMPRODUCT((B_CKDATE&gt;M$31)*(B_CKDATE&lt;=N$31)*ISNUMBER(B_CKDATA)*B_PM*B_INTYPE)+SUMPRODUCT((C_CKDATE&gt;M$31)*(C_CKDATE&lt;=N$31)*ISNUMBER(C_CKDATA)*C_PM*C_INTYPE)),""),"")</f>
        <v/>
      </c>
      <c r="O38" s="301" t="str">
        <f>IF(ISNUMBER(O$30),IFERROR((SUMPRODUCT((P_CKDATE&gt;N$31)*(P_CKDATE&lt;=O$31)*ISNUMBER(P_CKDATA)*P_PM*P_INTYPE,P_CKDATA)+SUMPRODUCT((M_CKDATE&gt;N$31)*(M_CKDATE&lt;=O$31)*ISNUMBER(M_CKDATA)*M_PM*M_INTYPE,M_CKDATA)+SUMPRODUCT((W_CKDATE&gt;N$31)*(W_CKDATE&lt;=O$31)*ISNUMBER(W_CKDATA)*W_PM*W_INTYPE,W_CKDATA)+SUMPRODUCT((B_CKDATE&gt;N$31)*(B_CKDATE&lt;=O$31)*ISNUMBER(B_CKDATA)*B_PM*B_INTYPE,B_CKDATA)+SUMPRODUCT((C_CKDATE&gt;N$31)*(C_CKDATE&lt;=O$31)*ISNUMBER(C_CKDATA)*C_PM*C_INTYPE,C_CKDATA))/(SUMPRODUCT((P_CKDATE&gt;N$31)*(P_CKDATE&lt;=O$31)*ISNUMBER(P_CKDATA)*P_PM*P_INTYPE)+SUMPRODUCT((M_CKDATE&gt;N$31)*(M_CKDATE&lt;=O$31)*ISNUMBER(M_CKDATA)*M_PM*M_INTYPE)+SUMPRODUCT((W_CKDATE&gt;N$31)*(W_CKDATE&lt;=O$31)*ISNUMBER(W_CKDATA)*W_PM*W_INTYPE)+SUMPRODUCT((B_CKDATE&gt;N$31)*(B_CKDATE&lt;=O$31)*ISNUMBER(B_CKDATA)*B_PM*B_INTYPE)+SUMPRODUCT((C_CKDATE&gt;N$31)*(C_CKDATE&lt;=O$31)*ISNUMBER(C_CKDATA)*C_PM*C_INTYPE)),""),"")</f>
        <v/>
      </c>
      <c r="P38" s="301" t="str">
        <f>IF(ISNUMBER(P$30),IFERROR((SUMPRODUCT((P_CKDATE&gt;O$31)*(P_CKDATE&lt;=P$31)*ISNUMBER(P_CKDATA)*P_PM*P_INTYPE,P_CKDATA)+SUMPRODUCT((M_CKDATE&gt;O$31)*(M_CKDATE&lt;=P$31)*ISNUMBER(M_CKDATA)*M_PM*M_INTYPE,M_CKDATA)+SUMPRODUCT((W_CKDATE&gt;O$31)*(W_CKDATE&lt;=P$31)*ISNUMBER(W_CKDATA)*W_PM*W_INTYPE,W_CKDATA)+SUMPRODUCT((B_CKDATE&gt;O$31)*(B_CKDATE&lt;=P$31)*ISNUMBER(B_CKDATA)*B_PM*B_INTYPE,B_CKDATA)+SUMPRODUCT((C_CKDATE&gt;O$31)*(C_CKDATE&lt;=P$31)*ISNUMBER(C_CKDATA)*C_PM*C_INTYPE,C_CKDATA))/(SUMPRODUCT((P_CKDATE&gt;O$31)*(P_CKDATE&lt;=P$31)*ISNUMBER(P_CKDATA)*P_PM*P_INTYPE)+SUMPRODUCT((M_CKDATE&gt;O$31)*(M_CKDATE&lt;=P$31)*ISNUMBER(M_CKDATA)*M_PM*M_INTYPE)+SUMPRODUCT((W_CKDATE&gt;O$31)*(W_CKDATE&lt;=P$31)*ISNUMBER(W_CKDATA)*W_PM*W_INTYPE)+SUMPRODUCT((B_CKDATE&gt;O$31)*(B_CKDATE&lt;=P$31)*ISNUMBER(B_CKDATA)*B_PM*B_INTYPE)+SUMPRODUCT((C_CKDATE&gt;O$31)*(C_CKDATE&lt;=P$31)*ISNUMBER(C_CKDATA)*C_PM*C_INTYPE)),""),"")</f>
        <v/>
      </c>
      <c r="Q38" s="176"/>
    </row>
    <row r="39" spans="2:17" s="187" customFormat="1" x14ac:dyDescent="0.2">
      <c r="B39" s="266"/>
      <c r="C39" s="267" t="s">
        <v>358</v>
      </c>
      <c r="D39" s="301" t="str">
        <f>Planning!D6</f>
        <v/>
      </c>
      <c r="E39" s="302" t="str">
        <f>IF(ISNUMBER(E$30),IFERROR(SUMPRODUCT((P_CKDATE&gt;D$31)*(P_CKDATE&lt;=E$31)*ISNUMBER(P_CKDATA)*P_PM*P_INTYPE,P_CKDATA)/SUMPRODUCT((P_CKDATE&gt;D$31)*(P_CKDATE&lt;=E$31)*ISNUMBER(P_CKDATA)*P_PM*P_INTYPE),""),"")</f>
        <v/>
      </c>
      <c r="F39" s="302" t="str">
        <f>IF(ISNUMBER(F$30),IFERROR(SUMPRODUCT((P_CKDATE&gt;E$31)*(P_CKDATE&lt;=F$31)*ISNUMBER(P_CKDATA)*P_PM*P_INTYPE,P_CKDATA)/SUMPRODUCT((P_CKDATE&gt;E$31)*(P_CKDATE&lt;=F$31)*ISNUMBER(P_CKDATA)*P_PM*P_INTYPE),""),"")</f>
        <v/>
      </c>
      <c r="G39" s="302" t="str">
        <f>IF(ISNUMBER(G$30),IFERROR(SUMPRODUCT((P_CKDATE&gt;F$31)*(P_CKDATE&lt;=G$31)*ISNUMBER(P_CKDATA)*P_PM*P_INTYPE,P_CKDATA)/SUMPRODUCT((P_CKDATE&gt;F$31)*(P_CKDATE&lt;=G$31)*ISNUMBER(P_CKDATA)*P_PM*P_INTYPE),""),"")</f>
        <v/>
      </c>
      <c r="H39" s="302" t="str">
        <f>IF(ISNUMBER(H$30),IFERROR(SUMPRODUCT((P_CKDATE&gt;G$31)*(P_CKDATE&lt;=H$31)*ISNUMBER(P_CKDATA)*P_PM*P_INTYPE,P_CKDATA)/SUMPRODUCT((P_CKDATE&gt;G$31)*(P_CKDATE&lt;=H$31)*ISNUMBER(P_CKDATA)*P_PM*P_INTYPE),""),"")</f>
        <v/>
      </c>
      <c r="I39" s="302" t="str">
        <f>IF(ISNUMBER(I$30),IFERROR(SUMPRODUCT((P_CKDATE&gt;H$31)*(P_CKDATE&lt;=I$31)*ISNUMBER(P_CKDATA)*P_PM*P_INTYPE,P_CKDATA)/SUMPRODUCT((P_CKDATE&gt;H$31)*(P_CKDATE&lt;=I$31)*ISNUMBER(P_CKDATA)*P_PM*P_INTYPE),""),"")</f>
        <v/>
      </c>
      <c r="J39" s="302" t="str">
        <f>IF(ISNUMBER(J$30),IFERROR(SUMPRODUCT((P_CKDATE&gt;I$31)*(P_CKDATE&lt;=J$31)*ISNUMBER(P_CKDATA)*P_PM*P_INTYPE,P_CKDATA)/SUMPRODUCT((P_CKDATE&gt;I$31)*(P_CKDATE&lt;=J$31)*ISNUMBER(P_CKDATA)*P_PM*P_INTYPE),""),"")</f>
        <v/>
      </c>
      <c r="K39" s="302" t="str">
        <f>IF(ISNUMBER(K$30),IFERROR(SUMPRODUCT((P_CKDATE&gt;J$31)*(P_CKDATE&lt;=K$31)*ISNUMBER(P_CKDATA)*P_PM*P_INTYPE,P_CKDATA)/SUMPRODUCT((P_CKDATE&gt;J$31)*(P_CKDATE&lt;=K$31)*ISNUMBER(P_CKDATA)*P_PM*P_INTYPE),""),"")</f>
        <v/>
      </c>
      <c r="L39" s="302" t="str">
        <f>IF(ISNUMBER(L$30),IFERROR(SUMPRODUCT((P_CKDATE&gt;K$31)*(P_CKDATE&lt;=L$31)*ISNUMBER(P_CKDATA)*P_PM*P_INTYPE,P_CKDATA)/SUMPRODUCT((P_CKDATE&gt;K$31)*(P_CKDATE&lt;=L$31)*ISNUMBER(P_CKDATA)*P_PM*P_INTYPE),""),"")</f>
        <v/>
      </c>
      <c r="M39" s="302" t="str">
        <f>IF(ISNUMBER(M$30),IFERROR(SUMPRODUCT((P_CKDATE&gt;L$31)*(P_CKDATE&lt;=M$31)*ISNUMBER(P_CKDATA)*P_PM*P_INTYPE,P_CKDATA)/SUMPRODUCT((P_CKDATE&gt;L$31)*(P_CKDATE&lt;=M$31)*ISNUMBER(P_CKDATA)*P_PM*P_INTYPE),""),"")</f>
        <v/>
      </c>
      <c r="N39" s="302" t="str">
        <f>IF(ISNUMBER(N$30),IFERROR(SUMPRODUCT((P_CKDATE&gt;M$31)*(P_CKDATE&lt;=N$31)*ISNUMBER(P_CKDATA)*P_PM*P_INTYPE,P_CKDATA)/SUMPRODUCT((P_CKDATE&gt;M$31)*(P_CKDATE&lt;=N$31)*ISNUMBER(P_CKDATA)*P_PM*P_INTYPE),""),"")</f>
        <v/>
      </c>
      <c r="O39" s="302" t="str">
        <f>IF(ISNUMBER(O$30),IFERROR(SUMPRODUCT((P_CKDATE&gt;N$31)*(P_CKDATE&lt;=O$31)*ISNUMBER(P_CKDATA)*P_PM*P_INTYPE,P_CKDATA)/SUMPRODUCT((P_CKDATE&gt;N$31)*(P_CKDATE&lt;=O$31)*ISNUMBER(P_CKDATA)*P_PM*P_INTYPE),""),"")</f>
        <v/>
      </c>
      <c r="P39" s="302" t="str">
        <f>IF(ISNUMBER(P$30),IFERROR(SUMPRODUCT((P_CKDATE&gt;O$31)*(P_CKDATE&lt;=P$31)*ISNUMBER(P_CKDATA)*P_PM*P_INTYPE,P_CKDATA)/SUMPRODUCT((P_CKDATE&gt;O$31)*(P_CKDATE&lt;=P$31)*ISNUMBER(P_CKDATA)*P_PM*P_INTYPE),""),"")</f>
        <v/>
      </c>
      <c r="Q39" s="177"/>
    </row>
    <row r="40" spans="2:17" s="187" customFormat="1" x14ac:dyDescent="0.2">
      <c r="B40" s="266"/>
      <c r="C40" s="267" t="s">
        <v>349</v>
      </c>
      <c r="D40" s="301" t="str">
        <f>Monthly!D6</f>
        <v/>
      </c>
      <c r="E40" s="302" t="str">
        <f>IF(ISNUMBER(E$30),IFERROR(SUMPRODUCT((M_CKDATE&gt;D$31)*(M_CKDATE&lt;=E$31)*ISNUMBER(M_CKDATA)*M_PM*M_INTYPE,M_CKDATA)/SUMPRODUCT((M_CKDATE&gt;D$31)*(M_CKDATE&lt;=E$31)*ISNUMBER(M_CKDATA)*M_PM*M_INTYPE),""),"")</f>
        <v/>
      </c>
      <c r="F40" s="302" t="str">
        <f>IF(ISNUMBER(F$30),IFERROR(SUMPRODUCT((M_CKDATE&gt;E$31)*(M_CKDATE&lt;=F$31)*ISNUMBER(M_CKDATA)*M_PM*M_INTYPE,M_CKDATA)/SUMPRODUCT((M_CKDATE&gt;E$31)*(M_CKDATE&lt;=F$31)*ISNUMBER(M_CKDATA)*M_PM*M_INTYPE),""),"")</f>
        <v/>
      </c>
      <c r="G40" s="302" t="str">
        <f>IF(ISNUMBER(G$30),IFERROR(SUMPRODUCT((M_CKDATE&gt;F$31)*(M_CKDATE&lt;=G$31)*ISNUMBER(M_CKDATA)*M_PM*M_INTYPE,M_CKDATA)/SUMPRODUCT((M_CKDATE&gt;F$31)*(M_CKDATE&lt;=G$31)*ISNUMBER(M_CKDATA)*M_PM*M_INTYPE),""),"")</f>
        <v/>
      </c>
      <c r="H40" s="302" t="str">
        <f>IF(ISNUMBER(H$30),IFERROR(SUMPRODUCT((M_CKDATE&gt;G$31)*(M_CKDATE&lt;=H$31)*ISNUMBER(M_CKDATA)*M_PM*M_INTYPE,M_CKDATA)/SUMPRODUCT((M_CKDATE&gt;G$31)*(M_CKDATE&lt;=H$31)*ISNUMBER(M_CKDATA)*M_PM*M_INTYPE),""),"")</f>
        <v/>
      </c>
      <c r="I40" s="302" t="str">
        <f>IF(ISNUMBER(I$30),IFERROR(SUMPRODUCT((M_CKDATE&gt;H$31)*(M_CKDATE&lt;=I$31)*ISNUMBER(M_CKDATA)*M_PM*M_INTYPE,M_CKDATA)/SUMPRODUCT((M_CKDATE&gt;H$31)*(M_CKDATE&lt;=I$31)*ISNUMBER(M_CKDATA)*M_PM*M_INTYPE),""),"")</f>
        <v/>
      </c>
      <c r="J40" s="302" t="str">
        <f>IF(ISNUMBER(J$30),IFERROR(SUMPRODUCT((M_CKDATE&gt;I$31)*(M_CKDATE&lt;=J$31)*ISNUMBER(M_CKDATA)*M_PM*M_INTYPE,M_CKDATA)/SUMPRODUCT((M_CKDATE&gt;I$31)*(M_CKDATE&lt;=J$31)*ISNUMBER(M_CKDATA)*M_PM*M_INTYPE),""),"")</f>
        <v/>
      </c>
      <c r="K40" s="302" t="str">
        <f>IF(ISNUMBER(K$30),IFERROR(SUMPRODUCT((M_CKDATE&gt;J$31)*(M_CKDATE&lt;=K$31)*ISNUMBER(M_CKDATA)*M_PM*M_INTYPE,M_CKDATA)/SUMPRODUCT((M_CKDATE&gt;J$31)*(M_CKDATE&lt;=K$31)*ISNUMBER(M_CKDATA)*M_PM*M_INTYPE),""),"")</f>
        <v/>
      </c>
      <c r="L40" s="302" t="str">
        <f>IF(ISNUMBER(L$30),IFERROR(SUMPRODUCT((M_CKDATE&gt;K$31)*(M_CKDATE&lt;=L$31)*ISNUMBER(M_CKDATA)*M_PM*M_INTYPE,M_CKDATA)/SUMPRODUCT((M_CKDATE&gt;K$31)*(M_CKDATE&lt;=L$31)*ISNUMBER(M_CKDATA)*M_PM*M_INTYPE),""),"")</f>
        <v/>
      </c>
      <c r="M40" s="302" t="str">
        <f>IF(ISNUMBER(M$30),IFERROR(SUMPRODUCT((M_CKDATE&gt;L$31)*(M_CKDATE&lt;=M$31)*ISNUMBER(M_CKDATA)*M_PM*M_INTYPE,M_CKDATA)/SUMPRODUCT((M_CKDATE&gt;L$31)*(M_CKDATE&lt;=M$31)*ISNUMBER(M_CKDATA)*M_PM*M_INTYPE),""),"")</f>
        <v/>
      </c>
      <c r="N40" s="302" t="str">
        <f>IF(ISNUMBER(N$30),IFERROR(SUMPRODUCT((M_CKDATE&gt;M$31)*(M_CKDATE&lt;=N$31)*ISNUMBER(M_CKDATA)*M_PM*M_INTYPE,M_CKDATA)/SUMPRODUCT((M_CKDATE&gt;M$31)*(M_CKDATE&lt;=N$31)*ISNUMBER(M_CKDATA)*M_PM*M_INTYPE),""),"")</f>
        <v/>
      </c>
      <c r="O40" s="302" t="str">
        <f>IF(ISNUMBER(O$30),IFERROR(SUMPRODUCT((M_CKDATE&gt;N$31)*(M_CKDATE&lt;=O$31)*ISNUMBER(M_CKDATA)*M_PM*M_INTYPE,M_CKDATA)/SUMPRODUCT((M_CKDATE&gt;N$31)*(M_CKDATE&lt;=O$31)*ISNUMBER(M_CKDATA)*M_PM*M_INTYPE),""),"")</f>
        <v/>
      </c>
      <c r="P40" s="302" t="str">
        <f>IF(ISNUMBER(P$30),IFERROR(SUMPRODUCT((M_CKDATE&gt;O$31)*(M_CKDATE&lt;=P$31)*ISNUMBER(M_CKDATA)*M_PM*M_INTYPE,M_CKDATA)/SUMPRODUCT((M_CKDATE&gt;O$31)*(M_CKDATE&lt;=P$31)*ISNUMBER(M_CKDATA)*M_PM*M_INTYPE),""),"")</f>
        <v/>
      </c>
      <c r="Q40" s="177"/>
    </row>
    <row r="41" spans="2:17" s="187" customFormat="1" x14ac:dyDescent="0.2">
      <c r="B41" s="266"/>
      <c r="C41" s="267" t="s">
        <v>342</v>
      </c>
      <c r="D41" s="301" t="str">
        <f>Weekly!D6</f>
        <v/>
      </c>
      <c r="E41" s="302" t="str">
        <f>IF(ISNUMBER(E$30),IFERROR(SUMPRODUCT((W_CKDATE&gt;D$31)*(W_CKDATE&lt;=E$31)*ISNUMBER(W_CKDATA)*W_PM*W_INTYPE,W_CKDATA)/SUMPRODUCT((W_CKDATE&gt;D$31)*(W_CKDATE&lt;=E$31)*ISNUMBER(W_CKDATA)*W_PM*W_INTYPE),""),"")</f>
        <v/>
      </c>
      <c r="F41" s="302" t="str">
        <f>IF(ISNUMBER(F$30),IFERROR(SUMPRODUCT((W_CKDATE&gt;E$31)*(W_CKDATE&lt;=F$31)*ISNUMBER(W_CKDATA)*W_PM*W_INTYPE,W_CKDATA)/SUMPRODUCT((W_CKDATE&gt;E$31)*(W_CKDATE&lt;=F$31)*ISNUMBER(W_CKDATA)*W_PM*W_INTYPE),""),"")</f>
        <v/>
      </c>
      <c r="G41" s="302" t="str">
        <f>IF(ISNUMBER(G$30),IFERROR(SUMPRODUCT((W_CKDATE&gt;F$31)*(W_CKDATE&lt;=G$31)*ISNUMBER(W_CKDATA)*W_PM*W_INTYPE,W_CKDATA)/SUMPRODUCT((W_CKDATE&gt;F$31)*(W_CKDATE&lt;=G$31)*ISNUMBER(W_CKDATA)*W_PM*W_INTYPE),""),"")</f>
        <v/>
      </c>
      <c r="H41" s="302" t="str">
        <f>IF(ISNUMBER(H$30),IFERROR(SUMPRODUCT((W_CKDATE&gt;G$31)*(W_CKDATE&lt;=H$31)*ISNUMBER(W_CKDATA)*W_PM*W_INTYPE,W_CKDATA)/SUMPRODUCT((W_CKDATE&gt;G$31)*(W_CKDATE&lt;=H$31)*ISNUMBER(W_CKDATA)*W_PM*W_INTYPE),""),"")</f>
        <v/>
      </c>
      <c r="I41" s="302" t="str">
        <f>IF(ISNUMBER(I$30),IFERROR(SUMPRODUCT((W_CKDATE&gt;H$31)*(W_CKDATE&lt;=I$31)*ISNUMBER(W_CKDATA)*W_PM*W_INTYPE,W_CKDATA)/SUMPRODUCT((W_CKDATE&gt;H$31)*(W_CKDATE&lt;=I$31)*ISNUMBER(W_CKDATA)*W_PM*W_INTYPE),""),"")</f>
        <v/>
      </c>
      <c r="J41" s="302" t="str">
        <f>IF(ISNUMBER(J$30),IFERROR(SUMPRODUCT((W_CKDATE&gt;I$31)*(W_CKDATE&lt;=J$31)*ISNUMBER(W_CKDATA)*W_PM*W_INTYPE,W_CKDATA)/SUMPRODUCT((W_CKDATE&gt;I$31)*(W_CKDATE&lt;=J$31)*ISNUMBER(W_CKDATA)*W_PM*W_INTYPE),""),"")</f>
        <v/>
      </c>
      <c r="K41" s="302" t="str">
        <f>IF(ISNUMBER(K$30),IFERROR(SUMPRODUCT((W_CKDATE&gt;J$31)*(W_CKDATE&lt;=K$31)*ISNUMBER(W_CKDATA)*W_PM*W_INTYPE,W_CKDATA)/SUMPRODUCT((W_CKDATE&gt;J$31)*(W_CKDATE&lt;=K$31)*ISNUMBER(W_CKDATA)*W_PM*W_INTYPE),""),"")</f>
        <v/>
      </c>
      <c r="L41" s="302" t="str">
        <f>IF(ISNUMBER(L$30),IFERROR(SUMPRODUCT((W_CKDATE&gt;K$31)*(W_CKDATE&lt;=L$31)*ISNUMBER(W_CKDATA)*W_PM*W_INTYPE,W_CKDATA)/SUMPRODUCT((W_CKDATE&gt;K$31)*(W_CKDATE&lt;=L$31)*ISNUMBER(W_CKDATA)*W_PM*W_INTYPE),""),"")</f>
        <v/>
      </c>
      <c r="M41" s="302" t="str">
        <f>IF(ISNUMBER(M$30),IFERROR(SUMPRODUCT((W_CKDATE&gt;L$31)*(W_CKDATE&lt;=M$31)*ISNUMBER(W_CKDATA)*W_PM*W_INTYPE,W_CKDATA)/SUMPRODUCT((W_CKDATE&gt;L$31)*(W_CKDATE&lt;=M$31)*ISNUMBER(W_CKDATA)*W_PM*W_INTYPE),""),"")</f>
        <v/>
      </c>
      <c r="N41" s="302" t="str">
        <f>IF(ISNUMBER(N$30),IFERROR(SUMPRODUCT((W_CKDATE&gt;M$31)*(W_CKDATE&lt;=N$31)*ISNUMBER(W_CKDATA)*W_PM*W_INTYPE,W_CKDATA)/SUMPRODUCT((W_CKDATE&gt;M$31)*(W_CKDATE&lt;=N$31)*ISNUMBER(W_CKDATA)*W_PM*W_INTYPE),""),"")</f>
        <v/>
      </c>
      <c r="O41" s="302" t="str">
        <f>IF(ISNUMBER(O$30),IFERROR(SUMPRODUCT((W_CKDATE&gt;N$31)*(W_CKDATE&lt;=O$31)*ISNUMBER(W_CKDATA)*W_PM*W_INTYPE,W_CKDATA)/SUMPRODUCT((W_CKDATE&gt;N$31)*(W_CKDATE&lt;=O$31)*ISNUMBER(W_CKDATA)*W_PM*W_INTYPE),""),"")</f>
        <v/>
      </c>
      <c r="P41" s="302" t="str">
        <f>IF(ISNUMBER(P$30),IFERROR(SUMPRODUCT((W_CKDATE&gt;O$31)*(W_CKDATE&lt;=P$31)*ISNUMBER(W_CKDATA)*W_PM*W_INTYPE,W_CKDATA)/SUMPRODUCT((W_CKDATE&gt;O$31)*(W_CKDATE&lt;=P$31)*ISNUMBER(W_CKDATA)*W_PM*W_INTYPE),""),"")</f>
        <v/>
      </c>
      <c r="Q41" s="177"/>
    </row>
    <row r="42" spans="2:17" s="187" customFormat="1" x14ac:dyDescent="0.2">
      <c r="B42" s="266"/>
      <c r="C42" s="267" t="s">
        <v>359</v>
      </c>
      <c r="D42" s="301" t="str">
        <f>Baseline!D6</f>
        <v/>
      </c>
      <c r="E42" s="302" t="str">
        <f>IF(ISNUMBER(E$30),IFERROR(SUMPRODUCT((B_CKDATE&gt;D$31)*(B_CKDATE&lt;=E$31)*ISNUMBER(B_CKDATA)*B_PM*B_INTYPE,B_CKDATA)/SUMPRODUCT((B_CKDATE&gt;D$31)*(B_CKDATE&lt;=E$31)*ISNUMBER(B_CKDATA)*B_PM*B_INTYPE),""),"")</f>
        <v/>
      </c>
      <c r="F42" s="302" t="str">
        <f>IF(ISNUMBER(F$30),IFERROR(SUMPRODUCT((B_CKDATE&gt;E$31)*(B_CKDATE&lt;=F$31)*ISNUMBER(B_CKDATA)*B_PM*B_INTYPE,B_CKDATA)/SUMPRODUCT((B_CKDATE&gt;E$31)*(B_CKDATE&lt;=F$31)*ISNUMBER(B_CKDATA)*B_PM*B_INTYPE),""),"")</f>
        <v/>
      </c>
      <c r="G42" s="302" t="str">
        <f>IF(ISNUMBER(G$30),IFERROR(SUMPRODUCT((B_CKDATE&gt;F$31)*(B_CKDATE&lt;=G$31)*ISNUMBER(B_CKDATA)*B_PM*B_INTYPE,B_CKDATA)/SUMPRODUCT((B_CKDATE&gt;F$31)*(B_CKDATE&lt;=G$31)*ISNUMBER(B_CKDATA)*B_PM*B_INTYPE),""),"")</f>
        <v/>
      </c>
      <c r="H42" s="302" t="str">
        <f>IF(ISNUMBER(H$30),IFERROR(SUMPRODUCT((B_CKDATE&gt;G$31)*(B_CKDATE&lt;=H$31)*ISNUMBER(B_CKDATA)*B_PM*B_INTYPE,B_CKDATA)/SUMPRODUCT((B_CKDATE&gt;G$31)*(B_CKDATE&lt;=H$31)*ISNUMBER(B_CKDATA)*B_PM*B_INTYPE),""),"")</f>
        <v/>
      </c>
      <c r="I42" s="302" t="str">
        <f>IF(ISNUMBER(I$30),IFERROR(SUMPRODUCT((B_CKDATE&gt;H$31)*(B_CKDATE&lt;=I$31)*ISNUMBER(B_CKDATA)*B_PM*B_INTYPE,B_CKDATA)/SUMPRODUCT((B_CKDATE&gt;H$31)*(B_CKDATE&lt;=I$31)*ISNUMBER(B_CKDATA)*B_PM*B_INTYPE),""),"")</f>
        <v/>
      </c>
      <c r="J42" s="302" t="str">
        <f>IF(ISNUMBER(J$30),IFERROR(SUMPRODUCT((B_CKDATE&gt;I$31)*(B_CKDATE&lt;=J$31)*ISNUMBER(B_CKDATA)*B_PM*B_INTYPE,B_CKDATA)/SUMPRODUCT((B_CKDATE&gt;I$31)*(B_CKDATE&lt;=J$31)*ISNUMBER(B_CKDATA)*B_PM*B_INTYPE),""),"")</f>
        <v/>
      </c>
      <c r="K42" s="302" t="str">
        <f>IF(ISNUMBER(K$30),IFERROR(SUMPRODUCT((B_CKDATE&gt;J$31)*(B_CKDATE&lt;=K$31)*ISNUMBER(B_CKDATA)*B_PM*B_INTYPE,B_CKDATA)/SUMPRODUCT((B_CKDATE&gt;J$31)*(B_CKDATE&lt;=K$31)*ISNUMBER(B_CKDATA)*B_PM*B_INTYPE),""),"")</f>
        <v/>
      </c>
      <c r="L42" s="302" t="str">
        <f>IF(ISNUMBER(L$30),IFERROR(SUMPRODUCT((B_CKDATE&gt;K$31)*(B_CKDATE&lt;=L$31)*ISNUMBER(B_CKDATA)*B_PM*B_INTYPE,B_CKDATA)/SUMPRODUCT((B_CKDATE&gt;K$31)*(B_CKDATE&lt;=L$31)*ISNUMBER(B_CKDATA)*B_PM*B_INTYPE),""),"")</f>
        <v/>
      </c>
      <c r="M42" s="302" t="str">
        <f>IF(ISNUMBER(M$30),IFERROR(SUMPRODUCT((B_CKDATE&gt;L$31)*(B_CKDATE&lt;=M$31)*ISNUMBER(B_CKDATA)*B_PM*B_INTYPE,B_CKDATA)/SUMPRODUCT((B_CKDATE&gt;L$31)*(B_CKDATE&lt;=M$31)*ISNUMBER(B_CKDATA)*B_PM*B_INTYPE),""),"")</f>
        <v/>
      </c>
      <c r="N42" s="302" t="str">
        <f>IF(ISNUMBER(N$30),IFERROR(SUMPRODUCT((B_CKDATE&gt;M$31)*(B_CKDATE&lt;=N$31)*ISNUMBER(B_CKDATA)*B_PM*B_INTYPE,B_CKDATA)/SUMPRODUCT((B_CKDATE&gt;M$31)*(B_CKDATE&lt;=N$31)*ISNUMBER(B_CKDATA)*B_PM*B_INTYPE),""),"")</f>
        <v/>
      </c>
      <c r="O42" s="302" t="str">
        <f>IF(ISNUMBER(O$30),IFERROR(SUMPRODUCT((B_CKDATE&gt;N$31)*(B_CKDATE&lt;=O$31)*ISNUMBER(B_CKDATA)*B_PM*B_INTYPE,B_CKDATA)/SUMPRODUCT((B_CKDATE&gt;N$31)*(B_CKDATE&lt;=O$31)*ISNUMBER(B_CKDATA)*B_PM*B_INTYPE),""),"")</f>
        <v/>
      </c>
      <c r="P42" s="302" t="str">
        <f>IF(ISNUMBER(P$30),IFERROR(SUMPRODUCT((B_CKDATE&gt;O$31)*(B_CKDATE&lt;=P$31)*ISNUMBER(B_CKDATA)*B_PM*B_INTYPE,B_CKDATA)/SUMPRODUCT((B_CKDATE&gt;O$31)*(B_CKDATE&lt;=P$31)*ISNUMBER(B_CKDATA)*B_PM*B_INTYPE),""),"")</f>
        <v/>
      </c>
      <c r="Q42" s="177"/>
    </row>
    <row r="43" spans="2:17" s="187" customFormat="1" x14ac:dyDescent="0.2">
      <c r="B43" s="266"/>
      <c r="C43" s="267" t="s">
        <v>360</v>
      </c>
      <c r="D43" s="301" t="str">
        <f>Closing!D6</f>
        <v/>
      </c>
      <c r="E43" s="302" t="str">
        <f>IF(ISNUMBER(E$30),IFERROR(SUMPRODUCT((C_CKDATE&gt;D$31)*(C_CKDATE&lt;=E$31)*ISNUMBER(C_CKDATA)*C_PM*C_INTYPE,C_CKDATA)/SUMPRODUCT((C_CKDATE&gt;D$31)*(C_CKDATE&lt;=E$31)*ISNUMBER(C_CKDATA)*C_PM*C_INTYPE),""),"")</f>
        <v/>
      </c>
      <c r="F43" s="302" t="str">
        <f>IF(ISNUMBER(F$30),IFERROR(SUMPRODUCT((C_CKDATE&gt;E$31)*(C_CKDATE&lt;=F$31)*ISNUMBER(C_CKDATA)*C_PM*C_INTYPE,C_CKDATA)/SUMPRODUCT((C_CKDATE&gt;E$31)*(C_CKDATE&lt;=F$31)*ISNUMBER(C_CKDATA)*C_PM*C_INTYPE),""),"")</f>
        <v/>
      </c>
      <c r="G43" s="302" t="str">
        <f>IF(ISNUMBER(G$30),IFERROR(SUMPRODUCT((C_CKDATE&gt;F$31)*(C_CKDATE&lt;=G$31)*ISNUMBER(C_CKDATA)*C_PM*C_INTYPE,C_CKDATA)/SUMPRODUCT((C_CKDATE&gt;F$31)*(C_CKDATE&lt;=G$31)*ISNUMBER(C_CKDATA)*C_PM*C_INTYPE),""),"")</f>
        <v/>
      </c>
      <c r="H43" s="302" t="str">
        <f>IF(ISNUMBER(H$30),IFERROR(SUMPRODUCT((C_CKDATE&gt;G$31)*(C_CKDATE&lt;=H$31)*ISNUMBER(C_CKDATA)*C_PM*C_INTYPE,C_CKDATA)/SUMPRODUCT((C_CKDATE&gt;G$31)*(C_CKDATE&lt;=H$31)*ISNUMBER(C_CKDATA)*C_PM*C_INTYPE),""),"")</f>
        <v/>
      </c>
      <c r="I43" s="302" t="str">
        <f>IF(ISNUMBER(I$30),IFERROR(SUMPRODUCT((C_CKDATE&gt;H$31)*(C_CKDATE&lt;=I$31)*ISNUMBER(C_CKDATA)*C_PM*C_INTYPE,C_CKDATA)/SUMPRODUCT((C_CKDATE&gt;H$31)*(C_CKDATE&lt;=I$31)*ISNUMBER(C_CKDATA)*C_PM*C_INTYPE),""),"")</f>
        <v/>
      </c>
      <c r="J43" s="302" t="str">
        <f>IF(ISNUMBER(J$30),IFERROR(SUMPRODUCT((C_CKDATE&gt;I$31)*(C_CKDATE&lt;=J$31)*ISNUMBER(C_CKDATA)*C_PM*C_INTYPE,C_CKDATA)/SUMPRODUCT((C_CKDATE&gt;I$31)*(C_CKDATE&lt;=J$31)*ISNUMBER(C_CKDATA)*C_PM*C_INTYPE),""),"")</f>
        <v/>
      </c>
      <c r="K43" s="302" t="str">
        <f>IF(ISNUMBER(K$30),IFERROR(SUMPRODUCT((C_CKDATE&gt;J$31)*(C_CKDATE&lt;=K$31)*ISNUMBER(C_CKDATA)*C_PM*C_INTYPE,C_CKDATA)/SUMPRODUCT((C_CKDATE&gt;J$31)*(C_CKDATE&lt;=K$31)*ISNUMBER(C_CKDATA)*C_PM*C_INTYPE),""),"")</f>
        <v/>
      </c>
      <c r="L43" s="302" t="str">
        <f>IF(ISNUMBER(L$30),IFERROR(SUMPRODUCT((C_CKDATE&gt;K$31)*(C_CKDATE&lt;=L$31)*ISNUMBER(C_CKDATA)*C_PM*C_INTYPE,C_CKDATA)/SUMPRODUCT((C_CKDATE&gt;K$31)*(C_CKDATE&lt;=L$31)*ISNUMBER(C_CKDATA)*C_PM*C_INTYPE),""),"")</f>
        <v/>
      </c>
      <c r="M43" s="302" t="str">
        <f>IF(ISNUMBER(M$30),IFERROR(SUMPRODUCT((C_CKDATE&gt;L$31)*(C_CKDATE&lt;=M$31)*ISNUMBER(C_CKDATA)*C_PM*C_INTYPE,C_CKDATA)/SUMPRODUCT((C_CKDATE&gt;L$31)*(C_CKDATE&lt;=M$31)*ISNUMBER(C_CKDATA)*C_PM*C_INTYPE),""),"")</f>
        <v/>
      </c>
      <c r="N43" s="302" t="str">
        <f>IF(ISNUMBER(N$30),IFERROR(SUMPRODUCT((C_CKDATE&gt;M$31)*(C_CKDATE&lt;=N$31)*ISNUMBER(C_CKDATA)*C_PM*C_INTYPE,C_CKDATA)/SUMPRODUCT((C_CKDATE&gt;M$31)*(C_CKDATE&lt;=N$31)*ISNUMBER(C_CKDATA)*C_PM*C_INTYPE),""),"")</f>
        <v/>
      </c>
      <c r="O43" s="302" t="str">
        <f>IF(ISNUMBER(O$30),IFERROR(SUMPRODUCT((C_CKDATE&gt;N$31)*(C_CKDATE&lt;=O$31)*ISNUMBER(C_CKDATA)*C_PM*C_INTYPE,C_CKDATA)/SUMPRODUCT((C_CKDATE&gt;N$31)*(C_CKDATE&lt;=O$31)*ISNUMBER(C_CKDATA)*C_PM*C_INTYPE),""),"")</f>
        <v/>
      </c>
      <c r="P43" s="302" t="str">
        <f>IF(ISNUMBER(P$30),IFERROR(SUMPRODUCT((C_CKDATE&gt;O$31)*(C_CKDATE&lt;=P$31)*ISNUMBER(C_CKDATA)*C_PM*C_INTYPE,C_CKDATA)/SUMPRODUCT((C_CKDATE&gt;O$31)*(C_CKDATE&lt;=P$31)*ISNUMBER(C_CKDATA)*C_PM*C_INTYPE),""),"")</f>
        <v/>
      </c>
      <c r="Q43" s="177"/>
    </row>
    <row r="44" spans="2:17" s="273" customFormat="1" x14ac:dyDescent="0.2">
      <c r="B44" s="468" t="s">
        <v>33</v>
      </c>
      <c r="C44" s="468"/>
      <c r="D44" s="301" t="str">
        <f>IFERROR((SUMPRODUCT(ISNUMBER(P_CKDATE)*ISNUMBER(P_CKDATA)*P_SM*P_INTYPE,P_CKDATA)+SUMPRODUCT(ISNUMBER(M_CKDATE)*ISNUMBER(M_CKDATA)*M_SM*M_INTYPE,M_CKDATA)+SUMPRODUCT(ISNUMBER(W_CKDATE)*ISNUMBER(W_CKDATA)*W_SM*W_INTYPE,W_CKDATA)+SUMPRODUCT(ISNUMBER(B_CKDATE)*ISNUMBER(B_CKDATA)*B_SM*B_INTYPE,B_CKDATA)+SUMPRODUCT(ISNUMBER(C_CKDATE)*ISNUMBER(C_CKDATA)*C_SM*C_INTYPE,C_CKDATA))/(SUMPRODUCT(ISNUMBER(P_CKDATE)*ISNUMBER(P_CKDATA)*P_SM*P_INTYPE)+SUMPRODUCT(ISNUMBER(M_CKDATE)*ISNUMBER(M_CKDATA)*M_SM*M_INTYPE)+SUMPRODUCT(ISNUMBER(W_CKDATE)*ISNUMBER(W_CKDATA)*W_SM*W_INTYPE)+SUMPRODUCT(ISNUMBER(B_CKDATE)*ISNUMBER(B_CKDATA)*B_SM*B_INTYPE)+SUMPRODUCT(ISNUMBER(C_CKDATE)*ISNUMBER(C_CKDATA)*C_SM*C_INTYPE)),"")</f>
        <v/>
      </c>
      <c r="E44" s="301" t="str">
        <f>IF(ISNUMBER(E$30),IFERROR((SUMPRODUCT((P_CKDATE&gt;D$31)*(P_CKDATE&lt;=E$31)*ISNUMBER(P_CKDATA)*P_SM*P_INTYPE,P_CKDATA)+SUMPRODUCT((M_CKDATE&gt;D$31)*(M_CKDATE&lt;=E$31)*ISNUMBER(M_CKDATA)*M_SM*M_INTYPE,M_CKDATA)+SUMPRODUCT((W_CKDATE&gt;D$31)*(W_CKDATE&lt;=E$31)*ISNUMBER(W_CKDATA)*W_SM*W_INTYPE,W_CKDATA)+SUMPRODUCT((B_CKDATE&gt;D$31)*(B_CKDATE&lt;=E$31)*ISNUMBER(B_CKDATA)*B_SM*B_INTYPE,B_CKDATA)+SUMPRODUCT((C_CKDATE&gt;D$31)*(C_CKDATE&lt;=E$31)*ISNUMBER(C_CKDATA)*C_SM*C_INTYPE,C_CKDATA))/(SUMPRODUCT((P_CKDATE&gt;D$31)*(P_CKDATE&lt;=E$31)*ISNUMBER(P_CKDATA)*P_SM*P_INTYPE)+SUMPRODUCT((M_CKDATE&gt;D$31)*(M_CKDATE&lt;=E$31)*ISNUMBER(M_CKDATA)*M_SM*M_INTYPE)+SUMPRODUCT((W_CKDATE&gt;D$31)*(W_CKDATE&lt;=E$31)*ISNUMBER(W_CKDATA)*W_SM*W_INTYPE)+SUMPRODUCT((B_CKDATE&gt;D$31)*(B_CKDATE&lt;=E$31)*ISNUMBER(B_CKDATA)*B_SM*B_INTYPE)+SUMPRODUCT((C_CKDATE&gt;D$31)*(C_CKDATE&lt;=E$31)*ISNUMBER(C_CKDATA)*C_SM*C_INTYPE)),""),"")</f>
        <v/>
      </c>
      <c r="F44" s="301" t="str">
        <f>IF(ISNUMBER(F$30),IFERROR((SUMPRODUCT((P_CKDATE&gt;E$31)*(P_CKDATE&lt;=F$31)*ISNUMBER(P_CKDATA)*P_SM*P_INTYPE,P_CKDATA)+SUMPRODUCT((M_CKDATE&gt;E$31)*(M_CKDATE&lt;=F$31)*ISNUMBER(M_CKDATA)*M_SM*M_INTYPE,M_CKDATA)+SUMPRODUCT((W_CKDATE&gt;E$31)*(W_CKDATE&lt;=F$31)*ISNUMBER(W_CKDATA)*W_SM*W_INTYPE,W_CKDATA)+SUMPRODUCT((B_CKDATE&gt;E$31)*(B_CKDATE&lt;=F$31)*ISNUMBER(B_CKDATA)*B_SM*B_INTYPE,B_CKDATA)+SUMPRODUCT((C_CKDATE&gt;E$31)*(C_CKDATE&lt;=F$31)*ISNUMBER(C_CKDATA)*C_SM*C_INTYPE,C_CKDATA))/(SUMPRODUCT((P_CKDATE&gt;E$31)*(P_CKDATE&lt;=F$31)*ISNUMBER(P_CKDATA)*P_SM*P_INTYPE)+SUMPRODUCT((M_CKDATE&gt;E$31)*(M_CKDATE&lt;=F$31)*ISNUMBER(M_CKDATA)*M_SM*M_INTYPE)+SUMPRODUCT((W_CKDATE&gt;E$31)*(W_CKDATE&lt;=F$31)*ISNUMBER(W_CKDATA)*W_SM*W_INTYPE)+SUMPRODUCT((B_CKDATE&gt;E$31)*(B_CKDATE&lt;=F$31)*ISNUMBER(B_CKDATA)*B_SM*B_INTYPE)+SUMPRODUCT((C_CKDATE&gt;E$31)*(C_CKDATE&lt;=F$31)*ISNUMBER(C_CKDATA)*C_SM*C_INTYPE)),""),"")</f>
        <v/>
      </c>
      <c r="G44" s="301" t="str">
        <f>IF(ISNUMBER(G$30),IFERROR((SUMPRODUCT((P_CKDATE&gt;F$31)*(P_CKDATE&lt;=G$31)*ISNUMBER(P_CKDATA)*P_SM*P_INTYPE,P_CKDATA)+SUMPRODUCT((M_CKDATE&gt;F$31)*(M_CKDATE&lt;=G$31)*ISNUMBER(M_CKDATA)*M_SM*M_INTYPE,M_CKDATA)+SUMPRODUCT((W_CKDATE&gt;F$31)*(W_CKDATE&lt;=G$31)*ISNUMBER(W_CKDATA)*W_SM*W_INTYPE,W_CKDATA)+SUMPRODUCT((B_CKDATE&gt;F$31)*(B_CKDATE&lt;=G$31)*ISNUMBER(B_CKDATA)*B_SM*B_INTYPE,B_CKDATA)+SUMPRODUCT((C_CKDATE&gt;F$31)*(C_CKDATE&lt;=G$31)*ISNUMBER(C_CKDATA)*C_SM*C_INTYPE,C_CKDATA))/(SUMPRODUCT((P_CKDATE&gt;F$31)*(P_CKDATE&lt;=G$31)*ISNUMBER(P_CKDATA)*P_SM*P_INTYPE)+SUMPRODUCT((M_CKDATE&gt;F$31)*(M_CKDATE&lt;=G$31)*ISNUMBER(M_CKDATA)*M_SM*M_INTYPE)+SUMPRODUCT((W_CKDATE&gt;F$31)*(W_CKDATE&lt;=G$31)*ISNUMBER(W_CKDATA)*W_SM*W_INTYPE)+SUMPRODUCT((B_CKDATE&gt;F$31)*(B_CKDATE&lt;=G$31)*ISNUMBER(B_CKDATA)*B_SM*B_INTYPE)+SUMPRODUCT((C_CKDATE&gt;F$31)*(C_CKDATE&lt;=G$31)*ISNUMBER(C_CKDATA)*C_SM*C_INTYPE)),""),"")</f>
        <v/>
      </c>
      <c r="H44" s="301" t="str">
        <f>IF(ISNUMBER(H$30),IFERROR((SUMPRODUCT((P_CKDATE&gt;G$31)*(P_CKDATE&lt;=H$31)*ISNUMBER(P_CKDATA)*P_SM*P_INTYPE,P_CKDATA)+SUMPRODUCT((M_CKDATE&gt;G$31)*(M_CKDATE&lt;=H$31)*ISNUMBER(M_CKDATA)*M_SM*M_INTYPE,M_CKDATA)+SUMPRODUCT((W_CKDATE&gt;G$31)*(W_CKDATE&lt;=H$31)*ISNUMBER(W_CKDATA)*W_SM*W_INTYPE,W_CKDATA)+SUMPRODUCT((B_CKDATE&gt;G$31)*(B_CKDATE&lt;=H$31)*ISNUMBER(B_CKDATA)*B_SM*B_INTYPE,B_CKDATA)+SUMPRODUCT((C_CKDATE&gt;G$31)*(C_CKDATE&lt;=H$31)*ISNUMBER(C_CKDATA)*C_SM*C_INTYPE,C_CKDATA))/(SUMPRODUCT((P_CKDATE&gt;G$31)*(P_CKDATE&lt;=H$31)*ISNUMBER(P_CKDATA)*P_SM*P_INTYPE)+SUMPRODUCT((M_CKDATE&gt;G$31)*(M_CKDATE&lt;=H$31)*ISNUMBER(M_CKDATA)*M_SM*M_INTYPE)+SUMPRODUCT((W_CKDATE&gt;G$31)*(W_CKDATE&lt;=H$31)*ISNUMBER(W_CKDATA)*W_SM*W_INTYPE)+SUMPRODUCT((B_CKDATE&gt;G$31)*(B_CKDATE&lt;=H$31)*ISNUMBER(B_CKDATA)*B_SM*B_INTYPE)+SUMPRODUCT((C_CKDATE&gt;G$31)*(C_CKDATE&lt;=H$31)*ISNUMBER(C_CKDATA)*C_SM*C_INTYPE)),""),"")</f>
        <v/>
      </c>
      <c r="I44" s="301" t="str">
        <f>IF(ISNUMBER(I$30),IFERROR((SUMPRODUCT((P_CKDATE&gt;H$31)*(P_CKDATE&lt;=I$31)*ISNUMBER(P_CKDATA)*P_SM*P_INTYPE,P_CKDATA)+SUMPRODUCT((M_CKDATE&gt;H$31)*(M_CKDATE&lt;=I$31)*ISNUMBER(M_CKDATA)*M_SM*M_INTYPE,M_CKDATA)+SUMPRODUCT((W_CKDATE&gt;H$31)*(W_CKDATE&lt;=I$31)*ISNUMBER(W_CKDATA)*W_SM*W_INTYPE,W_CKDATA)+SUMPRODUCT((B_CKDATE&gt;H$31)*(B_CKDATE&lt;=I$31)*ISNUMBER(B_CKDATA)*B_SM*B_INTYPE,B_CKDATA)+SUMPRODUCT((C_CKDATE&gt;H$31)*(C_CKDATE&lt;=I$31)*ISNUMBER(C_CKDATA)*C_SM*C_INTYPE,C_CKDATA))/(SUMPRODUCT((P_CKDATE&gt;H$31)*(P_CKDATE&lt;=I$31)*ISNUMBER(P_CKDATA)*P_SM*P_INTYPE)+SUMPRODUCT((M_CKDATE&gt;H$31)*(M_CKDATE&lt;=I$31)*ISNUMBER(M_CKDATA)*M_SM*M_INTYPE)+SUMPRODUCT((W_CKDATE&gt;H$31)*(W_CKDATE&lt;=I$31)*ISNUMBER(W_CKDATA)*W_SM*W_INTYPE)+SUMPRODUCT((B_CKDATE&gt;H$31)*(B_CKDATE&lt;=I$31)*ISNUMBER(B_CKDATA)*B_SM*B_INTYPE)+SUMPRODUCT((C_CKDATE&gt;H$31)*(C_CKDATE&lt;=I$31)*ISNUMBER(C_CKDATA)*C_SM*C_INTYPE)),""),"")</f>
        <v/>
      </c>
      <c r="J44" s="301" t="str">
        <f>IF(ISNUMBER(J$30),IFERROR((SUMPRODUCT((P_CKDATE&gt;I$31)*(P_CKDATE&lt;=J$31)*ISNUMBER(P_CKDATA)*P_SM*P_INTYPE,P_CKDATA)+SUMPRODUCT((M_CKDATE&gt;I$31)*(M_CKDATE&lt;=J$31)*ISNUMBER(M_CKDATA)*M_SM*M_INTYPE,M_CKDATA)+SUMPRODUCT((W_CKDATE&gt;I$31)*(W_CKDATE&lt;=J$31)*ISNUMBER(W_CKDATA)*W_SM*W_INTYPE,W_CKDATA)+SUMPRODUCT((B_CKDATE&gt;I$31)*(B_CKDATE&lt;=J$31)*ISNUMBER(B_CKDATA)*B_SM*B_INTYPE,B_CKDATA)+SUMPRODUCT((C_CKDATE&gt;I$31)*(C_CKDATE&lt;=J$31)*ISNUMBER(C_CKDATA)*C_SM*C_INTYPE,C_CKDATA))/(SUMPRODUCT((P_CKDATE&gt;I$31)*(P_CKDATE&lt;=J$31)*ISNUMBER(P_CKDATA)*P_SM*P_INTYPE)+SUMPRODUCT((M_CKDATE&gt;I$31)*(M_CKDATE&lt;=J$31)*ISNUMBER(M_CKDATA)*M_SM*M_INTYPE)+SUMPRODUCT((W_CKDATE&gt;I$31)*(W_CKDATE&lt;=J$31)*ISNUMBER(W_CKDATA)*W_SM*W_INTYPE)+SUMPRODUCT((B_CKDATE&gt;I$31)*(B_CKDATE&lt;=J$31)*ISNUMBER(B_CKDATA)*B_SM*B_INTYPE)+SUMPRODUCT((C_CKDATE&gt;I$31)*(C_CKDATE&lt;=J$31)*ISNUMBER(C_CKDATA)*C_SM*C_INTYPE)),""),"")</f>
        <v/>
      </c>
      <c r="K44" s="301" t="str">
        <f>IF(ISNUMBER(K$30),IFERROR((SUMPRODUCT((P_CKDATE&gt;J$31)*(P_CKDATE&lt;=K$31)*ISNUMBER(P_CKDATA)*P_SM*P_INTYPE,P_CKDATA)+SUMPRODUCT((M_CKDATE&gt;J$31)*(M_CKDATE&lt;=K$31)*ISNUMBER(M_CKDATA)*M_SM*M_INTYPE,M_CKDATA)+SUMPRODUCT((W_CKDATE&gt;J$31)*(W_CKDATE&lt;=K$31)*ISNUMBER(W_CKDATA)*W_SM*W_INTYPE,W_CKDATA)+SUMPRODUCT((B_CKDATE&gt;J$31)*(B_CKDATE&lt;=K$31)*ISNUMBER(B_CKDATA)*B_SM*B_INTYPE,B_CKDATA)+SUMPRODUCT((C_CKDATE&gt;J$31)*(C_CKDATE&lt;=K$31)*ISNUMBER(C_CKDATA)*C_SM*C_INTYPE,C_CKDATA))/(SUMPRODUCT((P_CKDATE&gt;J$31)*(P_CKDATE&lt;=K$31)*ISNUMBER(P_CKDATA)*P_SM*P_INTYPE)+SUMPRODUCT((M_CKDATE&gt;J$31)*(M_CKDATE&lt;=K$31)*ISNUMBER(M_CKDATA)*M_SM*M_INTYPE)+SUMPRODUCT((W_CKDATE&gt;J$31)*(W_CKDATE&lt;=K$31)*ISNUMBER(W_CKDATA)*W_SM*W_INTYPE)+SUMPRODUCT((B_CKDATE&gt;J$31)*(B_CKDATE&lt;=K$31)*ISNUMBER(B_CKDATA)*B_SM*B_INTYPE)+SUMPRODUCT((C_CKDATE&gt;J$31)*(C_CKDATE&lt;=K$31)*ISNUMBER(C_CKDATA)*C_SM*C_INTYPE)),""),"")</f>
        <v/>
      </c>
      <c r="L44" s="301" t="str">
        <f>IF(ISNUMBER(L$30),IFERROR((SUMPRODUCT((P_CKDATE&gt;K$31)*(P_CKDATE&lt;=L$31)*ISNUMBER(P_CKDATA)*P_SM*P_INTYPE,P_CKDATA)+SUMPRODUCT((M_CKDATE&gt;K$31)*(M_CKDATE&lt;=L$31)*ISNUMBER(M_CKDATA)*M_SM*M_INTYPE,M_CKDATA)+SUMPRODUCT((W_CKDATE&gt;K$31)*(W_CKDATE&lt;=L$31)*ISNUMBER(W_CKDATA)*W_SM*W_INTYPE,W_CKDATA)+SUMPRODUCT((B_CKDATE&gt;K$31)*(B_CKDATE&lt;=L$31)*ISNUMBER(B_CKDATA)*B_SM*B_INTYPE,B_CKDATA)+SUMPRODUCT((C_CKDATE&gt;K$31)*(C_CKDATE&lt;=L$31)*ISNUMBER(C_CKDATA)*C_SM*C_INTYPE,C_CKDATA))/(SUMPRODUCT((P_CKDATE&gt;K$31)*(P_CKDATE&lt;=L$31)*ISNUMBER(P_CKDATA)*P_SM*P_INTYPE)+SUMPRODUCT((M_CKDATE&gt;K$31)*(M_CKDATE&lt;=L$31)*ISNUMBER(M_CKDATA)*M_SM*M_INTYPE)+SUMPRODUCT((W_CKDATE&gt;K$31)*(W_CKDATE&lt;=L$31)*ISNUMBER(W_CKDATA)*W_SM*W_INTYPE)+SUMPRODUCT((B_CKDATE&gt;K$31)*(B_CKDATE&lt;=L$31)*ISNUMBER(B_CKDATA)*B_SM*B_INTYPE)+SUMPRODUCT((C_CKDATE&gt;K$31)*(C_CKDATE&lt;=L$31)*ISNUMBER(C_CKDATA)*C_SM*C_INTYPE)),""),"")</f>
        <v/>
      </c>
      <c r="M44" s="301" t="str">
        <f>IF(ISNUMBER(M$30),IFERROR((SUMPRODUCT((P_CKDATE&gt;L$31)*(P_CKDATE&lt;=M$31)*ISNUMBER(P_CKDATA)*P_SM*P_INTYPE,P_CKDATA)+SUMPRODUCT((M_CKDATE&gt;L$31)*(M_CKDATE&lt;=M$31)*ISNUMBER(M_CKDATA)*M_SM*M_INTYPE,M_CKDATA)+SUMPRODUCT((W_CKDATE&gt;L$31)*(W_CKDATE&lt;=M$31)*ISNUMBER(W_CKDATA)*W_SM*W_INTYPE,W_CKDATA)+SUMPRODUCT((B_CKDATE&gt;L$31)*(B_CKDATE&lt;=M$31)*ISNUMBER(B_CKDATA)*B_SM*B_INTYPE,B_CKDATA)+SUMPRODUCT((C_CKDATE&gt;L$31)*(C_CKDATE&lt;=M$31)*ISNUMBER(C_CKDATA)*C_SM*C_INTYPE,C_CKDATA))/(SUMPRODUCT((P_CKDATE&gt;L$31)*(P_CKDATE&lt;=M$31)*ISNUMBER(P_CKDATA)*P_SM*P_INTYPE)+SUMPRODUCT((M_CKDATE&gt;L$31)*(M_CKDATE&lt;=M$31)*ISNUMBER(M_CKDATA)*M_SM*M_INTYPE)+SUMPRODUCT((W_CKDATE&gt;L$31)*(W_CKDATE&lt;=M$31)*ISNUMBER(W_CKDATA)*W_SM*W_INTYPE)+SUMPRODUCT((B_CKDATE&gt;L$31)*(B_CKDATE&lt;=M$31)*ISNUMBER(B_CKDATA)*B_SM*B_INTYPE)+SUMPRODUCT((C_CKDATE&gt;L$31)*(C_CKDATE&lt;=M$31)*ISNUMBER(C_CKDATA)*C_SM*C_INTYPE)),""),"")</f>
        <v/>
      </c>
      <c r="N44" s="301" t="str">
        <f>IF(ISNUMBER(N$30),IFERROR((SUMPRODUCT((P_CKDATE&gt;M$31)*(P_CKDATE&lt;=N$31)*ISNUMBER(P_CKDATA)*P_SM*P_INTYPE,P_CKDATA)+SUMPRODUCT((M_CKDATE&gt;M$31)*(M_CKDATE&lt;=N$31)*ISNUMBER(M_CKDATA)*M_SM*M_INTYPE,M_CKDATA)+SUMPRODUCT((W_CKDATE&gt;M$31)*(W_CKDATE&lt;=N$31)*ISNUMBER(W_CKDATA)*W_SM*W_INTYPE,W_CKDATA)+SUMPRODUCT((B_CKDATE&gt;M$31)*(B_CKDATE&lt;=N$31)*ISNUMBER(B_CKDATA)*B_SM*B_INTYPE,B_CKDATA)+SUMPRODUCT((C_CKDATE&gt;M$31)*(C_CKDATE&lt;=N$31)*ISNUMBER(C_CKDATA)*C_SM*C_INTYPE,C_CKDATA))/(SUMPRODUCT((P_CKDATE&gt;M$31)*(P_CKDATE&lt;=N$31)*ISNUMBER(P_CKDATA)*P_SM*P_INTYPE)+SUMPRODUCT((M_CKDATE&gt;M$31)*(M_CKDATE&lt;=N$31)*ISNUMBER(M_CKDATA)*M_SM*M_INTYPE)+SUMPRODUCT((W_CKDATE&gt;M$31)*(W_CKDATE&lt;=N$31)*ISNUMBER(W_CKDATA)*W_SM*W_INTYPE)+SUMPRODUCT((B_CKDATE&gt;M$31)*(B_CKDATE&lt;=N$31)*ISNUMBER(B_CKDATA)*B_SM*B_INTYPE)+SUMPRODUCT((C_CKDATE&gt;M$31)*(C_CKDATE&lt;=N$31)*ISNUMBER(C_CKDATA)*C_SM*C_INTYPE)),""),"")</f>
        <v/>
      </c>
      <c r="O44" s="301" t="str">
        <f>IF(ISNUMBER(O$30),IFERROR((SUMPRODUCT((P_CKDATE&gt;N$31)*(P_CKDATE&lt;=O$31)*ISNUMBER(P_CKDATA)*P_SM*P_INTYPE,P_CKDATA)+SUMPRODUCT((M_CKDATE&gt;N$31)*(M_CKDATE&lt;=O$31)*ISNUMBER(M_CKDATA)*M_SM*M_INTYPE,M_CKDATA)+SUMPRODUCT((W_CKDATE&gt;N$31)*(W_CKDATE&lt;=O$31)*ISNUMBER(W_CKDATA)*W_SM*W_INTYPE,W_CKDATA)+SUMPRODUCT((B_CKDATE&gt;N$31)*(B_CKDATE&lt;=O$31)*ISNUMBER(B_CKDATA)*B_SM*B_INTYPE,B_CKDATA)+SUMPRODUCT((C_CKDATE&gt;N$31)*(C_CKDATE&lt;=O$31)*ISNUMBER(C_CKDATA)*C_SM*C_INTYPE,C_CKDATA))/(SUMPRODUCT((P_CKDATE&gt;N$31)*(P_CKDATE&lt;=O$31)*ISNUMBER(P_CKDATA)*P_SM*P_INTYPE)+SUMPRODUCT((M_CKDATE&gt;N$31)*(M_CKDATE&lt;=O$31)*ISNUMBER(M_CKDATA)*M_SM*M_INTYPE)+SUMPRODUCT((W_CKDATE&gt;N$31)*(W_CKDATE&lt;=O$31)*ISNUMBER(W_CKDATA)*W_SM*W_INTYPE)+SUMPRODUCT((B_CKDATE&gt;N$31)*(B_CKDATE&lt;=O$31)*ISNUMBER(B_CKDATA)*B_SM*B_INTYPE)+SUMPRODUCT((C_CKDATE&gt;N$31)*(C_CKDATE&lt;=O$31)*ISNUMBER(C_CKDATA)*C_SM*C_INTYPE)),""),"")</f>
        <v/>
      </c>
      <c r="P44" s="301" t="str">
        <f>IF(ISNUMBER(P$30),IFERROR((SUMPRODUCT((P_CKDATE&gt;O$31)*(P_CKDATE&lt;=P$31)*ISNUMBER(P_CKDATA)*P_SM*P_INTYPE,P_CKDATA)+SUMPRODUCT((M_CKDATE&gt;O$31)*(M_CKDATE&lt;=P$31)*ISNUMBER(M_CKDATA)*M_SM*M_INTYPE,M_CKDATA)+SUMPRODUCT((W_CKDATE&gt;O$31)*(W_CKDATE&lt;=P$31)*ISNUMBER(W_CKDATA)*W_SM*W_INTYPE,W_CKDATA)+SUMPRODUCT((B_CKDATE&gt;O$31)*(B_CKDATE&lt;=P$31)*ISNUMBER(B_CKDATA)*B_SM*B_INTYPE,B_CKDATA)+SUMPRODUCT((C_CKDATE&gt;O$31)*(C_CKDATE&lt;=P$31)*ISNUMBER(C_CKDATA)*C_SM*C_INTYPE,C_CKDATA))/(SUMPRODUCT((P_CKDATE&gt;O$31)*(P_CKDATE&lt;=P$31)*ISNUMBER(P_CKDATA)*P_SM*P_INTYPE)+SUMPRODUCT((M_CKDATE&gt;O$31)*(M_CKDATE&lt;=P$31)*ISNUMBER(M_CKDATA)*M_SM*M_INTYPE)+SUMPRODUCT((W_CKDATE&gt;O$31)*(W_CKDATE&lt;=P$31)*ISNUMBER(W_CKDATA)*W_SM*W_INTYPE)+SUMPRODUCT((B_CKDATE&gt;O$31)*(B_CKDATE&lt;=P$31)*ISNUMBER(B_CKDATA)*B_SM*B_INTYPE)+SUMPRODUCT((C_CKDATE&gt;O$31)*(C_CKDATE&lt;=P$31)*ISNUMBER(C_CKDATA)*C_SM*C_INTYPE)),""),"")</f>
        <v/>
      </c>
      <c r="Q44" s="176"/>
    </row>
    <row r="45" spans="2:17" s="187" customFormat="1" x14ac:dyDescent="0.2">
      <c r="B45" s="266"/>
      <c r="C45" s="267" t="s">
        <v>358</v>
      </c>
      <c r="D45" s="301" t="str">
        <f>Planning!D5</f>
        <v/>
      </c>
      <c r="E45" s="302" t="str">
        <f>IF(ISNUMBER(E$30),IFERROR(SUMPRODUCT((P_CKDATE&gt;D$31)*(P_CKDATE&lt;=E$31)*ISNUMBER(P_CKDATA)*P_SM*P_INTYPE,P_CKDATA)/SUMPRODUCT((P_CKDATE&gt;D$31)*(P_CKDATE&lt;=E$31)*ISNUMBER(P_CKDATA)*P_SM*P_INTYPE),""),"")</f>
        <v/>
      </c>
      <c r="F45" s="302" t="str">
        <f>IF(ISNUMBER(F$30),IFERROR(SUMPRODUCT((P_CKDATE&gt;E$31)*(P_CKDATE&lt;=F$31)*ISNUMBER(P_CKDATA)*P_SM*P_INTYPE,P_CKDATA)/SUMPRODUCT((P_CKDATE&gt;E$31)*(P_CKDATE&lt;=F$31)*ISNUMBER(P_CKDATA)*P_SM*P_INTYPE),""),"")</f>
        <v/>
      </c>
      <c r="G45" s="302" t="str">
        <f>IF(ISNUMBER(G$30),IFERROR(SUMPRODUCT((P_CKDATE&gt;F$31)*(P_CKDATE&lt;=G$31)*ISNUMBER(P_CKDATA)*P_SM*P_INTYPE,P_CKDATA)/SUMPRODUCT((P_CKDATE&gt;F$31)*(P_CKDATE&lt;=G$31)*ISNUMBER(P_CKDATA)*P_SM*P_INTYPE),""),"")</f>
        <v/>
      </c>
      <c r="H45" s="302" t="str">
        <f>IF(ISNUMBER(H$30),IFERROR(SUMPRODUCT((P_CKDATE&gt;G$31)*(P_CKDATE&lt;=H$31)*ISNUMBER(P_CKDATA)*P_SM*P_INTYPE,P_CKDATA)/SUMPRODUCT((P_CKDATE&gt;G$31)*(P_CKDATE&lt;=H$31)*ISNUMBER(P_CKDATA)*P_SM*P_INTYPE),""),"")</f>
        <v/>
      </c>
      <c r="I45" s="302" t="str">
        <f>IF(ISNUMBER(I$30),IFERROR(SUMPRODUCT((P_CKDATE&gt;H$31)*(P_CKDATE&lt;=I$31)*ISNUMBER(P_CKDATA)*P_SM*P_INTYPE,P_CKDATA)/SUMPRODUCT((P_CKDATE&gt;H$31)*(P_CKDATE&lt;=I$31)*ISNUMBER(P_CKDATA)*P_SM*P_INTYPE),""),"")</f>
        <v/>
      </c>
      <c r="J45" s="302" t="str">
        <f>IF(ISNUMBER(J$30),IFERROR(SUMPRODUCT((P_CKDATE&gt;I$31)*(P_CKDATE&lt;=J$31)*ISNUMBER(P_CKDATA)*P_SM*P_INTYPE,P_CKDATA)/SUMPRODUCT((P_CKDATE&gt;I$31)*(P_CKDATE&lt;=J$31)*ISNUMBER(P_CKDATA)*P_SM*P_INTYPE),""),"")</f>
        <v/>
      </c>
      <c r="K45" s="302" t="str">
        <f>IF(ISNUMBER(K$30),IFERROR(SUMPRODUCT((P_CKDATE&gt;J$31)*(P_CKDATE&lt;=K$31)*ISNUMBER(P_CKDATA)*P_SM*P_INTYPE,P_CKDATA)/SUMPRODUCT((P_CKDATE&gt;J$31)*(P_CKDATE&lt;=K$31)*ISNUMBER(P_CKDATA)*P_SM*P_INTYPE),""),"")</f>
        <v/>
      </c>
      <c r="L45" s="302" t="str">
        <f>IF(ISNUMBER(L$30),IFERROR(SUMPRODUCT((P_CKDATE&gt;K$31)*(P_CKDATE&lt;=L$31)*ISNUMBER(P_CKDATA)*P_SM*P_INTYPE,P_CKDATA)/SUMPRODUCT((P_CKDATE&gt;K$31)*(P_CKDATE&lt;=L$31)*ISNUMBER(P_CKDATA)*P_SM*P_INTYPE),""),"")</f>
        <v/>
      </c>
      <c r="M45" s="302" t="str">
        <f>IF(ISNUMBER(M$30),IFERROR(SUMPRODUCT((P_CKDATE&gt;L$31)*(P_CKDATE&lt;=M$31)*ISNUMBER(P_CKDATA)*P_SM*P_INTYPE,P_CKDATA)/SUMPRODUCT((P_CKDATE&gt;L$31)*(P_CKDATE&lt;=M$31)*ISNUMBER(P_CKDATA)*P_SM*P_INTYPE),""),"")</f>
        <v/>
      </c>
      <c r="N45" s="302" t="str">
        <f>IF(ISNUMBER(N$30),IFERROR(SUMPRODUCT((P_CKDATE&gt;M$31)*(P_CKDATE&lt;=N$31)*ISNUMBER(P_CKDATA)*P_SM*P_INTYPE,P_CKDATA)/SUMPRODUCT((P_CKDATE&gt;M$31)*(P_CKDATE&lt;=N$31)*ISNUMBER(P_CKDATA)*P_SM*P_INTYPE),""),"")</f>
        <v/>
      </c>
      <c r="O45" s="302" t="str">
        <f>IF(ISNUMBER(O$30),IFERROR(SUMPRODUCT((P_CKDATE&gt;N$31)*(P_CKDATE&lt;=O$31)*ISNUMBER(P_CKDATA)*P_SM*P_INTYPE,P_CKDATA)/SUMPRODUCT((P_CKDATE&gt;N$31)*(P_CKDATE&lt;=O$31)*ISNUMBER(P_CKDATA)*P_SM*P_INTYPE),""),"")</f>
        <v/>
      </c>
      <c r="P45" s="302" t="str">
        <f>IF(ISNUMBER(P$30),IFERROR(SUMPRODUCT((P_CKDATE&gt;O$31)*(P_CKDATE&lt;=P$31)*ISNUMBER(P_CKDATA)*P_SM*P_INTYPE,P_CKDATA)/SUMPRODUCT((P_CKDATE&gt;O$31)*(P_CKDATE&lt;=P$31)*ISNUMBER(P_CKDATA)*P_SM*P_INTYPE),""),"")</f>
        <v/>
      </c>
      <c r="Q45" s="177"/>
    </row>
    <row r="46" spans="2:17" s="187" customFormat="1" x14ac:dyDescent="0.2">
      <c r="B46" s="266"/>
      <c r="C46" s="267" t="s">
        <v>349</v>
      </c>
      <c r="D46" s="301" t="str">
        <f>Monthly!D5</f>
        <v/>
      </c>
      <c r="E46" s="302" t="str">
        <f>IF(ISNUMBER(E$30),IFERROR(SUMPRODUCT((M_CKDATE&gt;D$31)*(M_CKDATE&lt;=E$31)*ISNUMBER(M_CKDATA)*M_SM*M_INTYPE,M_CKDATA)/SUMPRODUCT((M_CKDATE&gt;D$31)*(M_CKDATE&lt;=E$31)*ISNUMBER(M_CKDATA)*M_SM*M_INTYPE),""),"")</f>
        <v/>
      </c>
      <c r="F46" s="302" t="str">
        <f>IF(ISNUMBER(F$30),IFERROR(SUMPRODUCT((M_CKDATE&gt;E$31)*(M_CKDATE&lt;=F$31)*ISNUMBER(M_CKDATA)*M_SM*M_INTYPE,M_CKDATA)/SUMPRODUCT((M_CKDATE&gt;E$31)*(M_CKDATE&lt;=F$31)*ISNUMBER(M_CKDATA)*M_SM*M_INTYPE),""),"")</f>
        <v/>
      </c>
      <c r="G46" s="302" t="str">
        <f>IF(ISNUMBER(G$30),IFERROR(SUMPRODUCT((M_CKDATE&gt;F$31)*(M_CKDATE&lt;=G$31)*ISNUMBER(M_CKDATA)*M_SM*M_INTYPE,M_CKDATA)/SUMPRODUCT((M_CKDATE&gt;F$31)*(M_CKDATE&lt;=G$31)*ISNUMBER(M_CKDATA)*M_SM*M_INTYPE),""),"")</f>
        <v/>
      </c>
      <c r="H46" s="302" t="str">
        <f>IF(ISNUMBER(H$30),IFERROR(SUMPRODUCT((M_CKDATE&gt;G$31)*(M_CKDATE&lt;=H$31)*ISNUMBER(M_CKDATA)*M_SM*M_INTYPE,M_CKDATA)/SUMPRODUCT((M_CKDATE&gt;G$31)*(M_CKDATE&lt;=H$31)*ISNUMBER(M_CKDATA)*M_SM*M_INTYPE),""),"")</f>
        <v/>
      </c>
      <c r="I46" s="302" t="str">
        <f>IF(ISNUMBER(I$30),IFERROR(SUMPRODUCT((M_CKDATE&gt;H$31)*(M_CKDATE&lt;=I$31)*ISNUMBER(M_CKDATA)*M_SM*M_INTYPE,M_CKDATA)/SUMPRODUCT((M_CKDATE&gt;H$31)*(M_CKDATE&lt;=I$31)*ISNUMBER(M_CKDATA)*M_SM*M_INTYPE),""),"")</f>
        <v/>
      </c>
      <c r="J46" s="302" t="str">
        <f>IF(ISNUMBER(J$30),IFERROR(SUMPRODUCT((M_CKDATE&gt;I$31)*(M_CKDATE&lt;=J$31)*ISNUMBER(M_CKDATA)*M_SM*M_INTYPE,M_CKDATA)/SUMPRODUCT((M_CKDATE&gt;I$31)*(M_CKDATE&lt;=J$31)*ISNUMBER(M_CKDATA)*M_SM*M_INTYPE),""),"")</f>
        <v/>
      </c>
      <c r="K46" s="302" t="str">
        <f>IF(ISNUMBER(K$30),IFERROR(SUMPRODUCT((M_CKDATE&gt;J$31)*(M_CKDATE&lt;=K$31)*ISNUMBER(M_CKDATA)*M_SM*M_INTYPE,M_CKDATA)/SUMPRODUCT((M_CKDATE&gt;J$31)*(M_CKDATE&lt;=K$31)*ISNUMBER(M_CKDATA)*M_SM*M_INTYPE),""),"")</f>
        <v/>
      </c>
      <c r="L46" s="302" t="str">
        <f>IF(ISNUMBER(L$30),IFERROR(SUMPRODUCT((M_CKDATE&gt;K$31)*(M_CKDATE&lt;=L$31)*ISNUMBER(M_CKDATA)*M_SM*M_INTYPE,M_CKDATA)/SUMPRODUCT((M_CKDATE&gt;K$31)*(M_CKDATE&lt;=L$31)*ISNUMBER(M_CKDATA)*M_SM*M_INTYPE),""),"")</f>
        <v/>
      </c>
      <c r="M46" s="302" t="str">
        <f>IF(ISNUMBER(M$30),IFERROR(SUMPRODUCT((M_CKDATE&gt;L$31)*(M_CKDATE&lt;=M$31)*ISNUMBER(M_CKDATA)*M_SM*M_INTYPE,M_CKDATA)/SUMPRODUCT((M_CKDATE&gt;L$31)*(M_CKDATE&lt;=M$31)*ISNUMBER(M_CKDATA)*M_SM*M_INTYPE),""),"")</f>
        <v/>
      </c>
      <c r="N46" s="302" t="str">
        <f>IF(ISNUMBER(N$30),IFERROR(SUMPRODUCT((M_CKDATE&gt;M$31)*(M_CKDATE&lt;=N$31)*ISNUMBER(M_CKDATA)*M_SM*M_INTYPE,M_CKDATA)/SUMPRODUCT((M_CKDATE&gt;M$31)*(M_CKDATE&lt;=N$31)*ISNUMBER(M_CKDATA)*M_SM*M_INTYPE),""),"")</f>
        <v/>
      </c>
      <c r="O46" s="302" t="str">
        <f>IF(ISNUMBER(O$30),IFERROR(SUMPRODUCT((M_CKDATE&gt;N$31)*(M_CKDATE&lt;=O$31)*ISNUMBER(M_CKDATA)*M_SM*M_INTYPE,M_CKDATA)/SUMPRODUCT((M_CKDATE&gt;N$31)*(M_CKDATE&lt;=O$31)*ISNUMBER(M_CKDATA)*M_SM*M_INTYPE),""),"")</f>
        <v/>
      </c>
      <c r="P46" s="302" t="str">
        <f>IF(ISNUMBER(P$30),IFERROR(SUMPRODUCT((M_CKDATE&gt;O$31)*(M_CKDATE&lt;=P$31)*ISNUMBER(M_CKDATA)*M_SM*M_INTYPE,M_CKDATA)/SUMPRODUCT((M_CKDATE&gt;O$31)*(M_CKDATE&lt;=P$31)*ISNUMBER(M_CKDATA)*M_SM*M_INTYPE),""),"")</f>
        <v/>
      </c>
      <c r="Q46" s="177"/>
    </row>
    <row r="47" spans="2:17" s="187" customFormat="1" x14ac:dyDescent="0.2">
      <c r="B47" s="266"/>
      <c r="C47" s="267" t="s">
        <v>342</v>
      </c>
      <c r="D47" s="301" t="str">
        <f>Weekly!D5</f>
        <v/>
      </c>
      <c r="E47" s="302" t="str">
        <f>IF(ISNUMBER(E$30),IFERROR(SUMPRODUCT((W_CKDATE&gt;D$31)*(W_CKDATE&lt;=E$31)*ISNUMBER(W_CKDATA)*W_SM*W_INTYPE,W_CKDATA)/SUMPRODUCT((W_CKDATE&gt;D$31)*(W_CKDATE&lt;=E$31)*ISNUMBER(W_CKDATA)*W_SM*W_INTYPE),""),"")</f>
        <v/>
      </c>
      <c r="F47" s="302" t="str">
        <f>IF(ISNUMBER(F$30),IFERROR(SUMPRODUCT((W_CKDATE&gt;E$31)*(W_CKDATE&lt;=F$31)*ISNUMBER(W_CKDATA)*W_SM*W_INTYPE,W_CKDATA)/SUMPRODUCT((W_CKDATE&gt;E$31)*(W_CKDATE&lt;=F$31)*ISNUMBER(W_CKDATA)*W_SM*W_INTYPE),""),"")</f>
        <v/>
      </c>
      <c r="G47" s="302" t="str">
        <f>IF(ISNUMBER(G$30),IFERROR(SUMPRODUCT((W_CKDATE&gt;F$31)*(W_CKDATE&lt;=G$31)*ISNUMBER(W_CKDATA)*W_SM*W_INTYPE,W_CKDATA)/SUMPRODUCT((W_CKDATE&gt;F$31)*(W_CKDATE&lt;=G$31)*ISNUMBER(W_CKDATA)*W_SM*W_INTYPE),""),"")</f>
        <v/>
      </c>
      <c r="H47" s="302" t="str">
        <f>IF(ISNUMBER(H$30),IFERROR(SUMPRODUCT((W_CKDATE&gt;G$31)*(W_CKDATE&lt;=H$31)*ISNUMBER(W_CKDATA)*W_SM*W_INTYPE,W_CKDATA)/SUMPRODUCT((W_CKDATE&gt;G$31)*(W_CKDATE&lt;=H$31)*ISNUMBER(W_CKDATA)*W_SM*W_INTYPE),""),"")</f>
        <v/>
      </c>
      <c r="I47" s="302" t="str">
        <f>IF(ISNUMBER(I$30),IFERROR(SUMPRODUCT((W_CKDATE&gt;H$31)*(W_CKDATE&lt;=I$31)*ISNUMBER(W_CKDATA)*W_SM*W_INTYPE,W_CKDATA)/SUMPRODUCT((W_CKDATE&gt;H$31)*(W_CKDATE&lt;=I$31)*ISNUMBER(W_CKDATA)*W_SM*W_INTYPE),""),"")</f>
        <v/>
      </c>
      <c r="J47" s="302" t="str">
        <f>IF(ISNUMBER(J$30),IFERROR(SUMPRODUCT((W_CKDATE&gt;I$31)*(W_CKDATE&lt;=J$31)*ISNUMBER(W_CKDATA)*W_SM*W_INTYPE,W_CKDATA)/SUMPRODUCT((W_CKDATE&gt;I$31)*(W_CKDATE&lt;=J$31)*ISNUMBER(W_CKDATA)*W_SM*W_INTYPE),""),"")</f>
        <v/>
      </c>
      <c r="K47" s="302" t="str">
        <f>IF(ISNUMBER(K$30),IFERROR(SUMPRODUCT((W_CKDATE&gt;J$31)*(W_CKDATE&lt;=K$31)*ISNUMBER(W_CKDATA)*W_SM*W_INTYPE,W_CKDATA)/SUMPRODUCT((W_CKDATE&gt;J$31)*(W_CKDATE&lt;=K$31)*ISNUMBER(W_CKDATA)*W_SM*W_INTYPE),""),"")</f>
        <v/>
      </c>
      <c r="L47" s="302" t="str">
        <f>IF(ISNUMBER(L$30),IFERROR(SUMPRODUCT((W_CKDATE&gt;K$31)*(W_CKDATE&lt;=L$31)*ISNUMBER(W_CKDATA)*W_SM*W_INTYPE,W_CKDATA)/SUMPRODUCT((W_CKDATE&gt;K$31)*(W_CKDATE&lt;=L$31)*ISNUMBER(W_CKDATA)*W_SM*W_INTYPE),""),"")</f>
        <v/>
      </c>
      <c r="M47" s="302" t="str">
        <f>IF(ISNUMBER(M$30),IFERROR(SUMPRODUCT((W_CKDATE&gt;L$31)*(W_CKDATE&lt;=M$31)*ISNUMBER(W_CKDATA)*W_SM*W_INTYPE,W_CKDATA)/SUMPRODUCT((W_CKDATE&gt;L$31)*(W_CKDATE&lt;=M$31)*ISNUMBER(W_CKDATA)*W_SM*W_INTYPE),""),"")</f>
        <v/>
      </c>
      <c r="N47" s="302" t="str">
        <f>IF(ISNUMBER(N$30),IFERROR(SUMPRODUCT((W_CKDATE&gt;M$31)*(W_CKDATE&lt;=N$31)*ISNUMBER(W_CKDATA)*W_SM*W_INTYPE,W_CKDATA)/SUMPRODUCT((W_CKDATE&gt;M$31)*(W_CKDATE&lt;=N$31)*ISNUMBER(W_CKDATA)*W_SM*W_INTYPE),""),"")</f>
        <v/>
      </c>
      <c r="O47" s="302" t="str">
        <f>IF(ISNUMBER(O$30),IFERROR(SUMPRODUCT((W_CKDATE&gt;N$31)*(W_CKDATE&lt;=O$31)*ISNUMBER(W_CKDATA)*W_SM*W_INTYPE,W_CKDATA)/SUMPRODUCT((W_CKDATE&gt;N$31)*(W_CKDATE&lt;=O$31)*ISNUMBER(W_CKDATA)*W_SM*W_INTYPE),""),"")</f>
        <v/>
      </c>
      <c r="P47" s="302" t="str">
        <f>IF(ISNUMBER(P$30),IFERROR(SUMPRODUCT((W_CKDATE&gt;O$31)*(W_CKDATE&lt;=P$31)*ISNUMBER(W_CKDATA)*W_SM*W_INTYPE,W_CKDATA)/SUMPRODUCT((W_CKDATE&gt;O$31)*(W_CKDATE&lt;=P$31)*ISNUMBER(W_CKDATA)*W_SM*W_INTYPE),""),"")</f>
        <v/>
      </c>
      <c r="Q47" s="177"/>
    </row>
    <row r="48" spans="2:17" s="187" customFormat="1" x14ac:dyDescent="0.2">
      <c r="B48" s="266"/>
      <c r="C48" s="267" t="s">
        <v>359</v>
      </c>
      <c r="D48" s="301" t="str">
        <f>Baseline!D5</f>
        <v/>
      </c>
      <c r="E48" s="302" t="str">
        <f>IF(ISNUMBER(E$30),IFERROR(SUMPRODUCT((B_CKDATE&gt;D$31)*(B_CKDATE&lt;=E$31)*ISNUMBER(B_CKDATA)*B_SM*B_INTYPE,B_CKDATA)/SUMPRODUCT((B_CKDATE&gt;D$31)*(B_CKDATE&lt;=E$31)*ISNUMBER(B_CKDATA)*B_SM*B_INTYPE),""),"")</f>
        <v/>
      </c>
      <c r="F48" s="302" t="str">
        <f>IF(ISNUMBER(F$30),IFERROR(SUMPRODUCT((B_CKDATE&gt;E$31)*(B_CKDATE&lt;=F$31)*ISNUMBER(B_CKDATA)*B_SM*B_INTYPE,B_CKDATA)/SUMPRODUCT((B_CKDATE&gt;E$31)*(B_CKDATE&lt;=F$31)*ISNUMBER(B_CKDATA)*B_SM*B_INTYPE),""),"")</f>
        <v/>
      </c>
      <c r="G48" s="302" t="str">
        <f>IF(ISNUMBER(G$30),IFERROR(SUMPRODUCT((B_CKDATE&gt;F$31)*(B_CKDATE&lt;=G$31)*ISNUMBER(B_CKDATA)*B_SM*B_INTYPE,B_CKDATA)/SUMPRODUCT((B_CKDATE&gt;F$31)*(B_CKDATE&lt;=G$31)*ISNUMBER(B_CKDATA)*B_SM*B_INTYPE),""),"")</f>
        <v/>
      </c>
      <c r="H48" s="302" t="str">
        <f>IF(ISNUMBER(H$30),IFERROR(SUMPRODUCT((B_CKDATE&gt;G$31)*(B_CKDATE&lt;=H$31)*ISNUMBER(B_CKDATA)*B_SM*B_INTYPE,B_CKDATA)/SUMPRODUCT((B_CKDATE&gt;G$31)*(B_CKDATE&lt;=H$31)*ISNUMBER(B_CKDATA)*B_SM*B_INTYPE),""),"")</f>
        <v/>
      </c>
      <c r="I48" s="302" t="str">
        <f>IF(ISNUMBER(I$30),IFERROR(SUMPRODUCT((B_CKDATE&gt;H$31)*(B_CKDATE&lt;=I$31)*ISNUMBER(B_CKDATA)*B_SM*B_INTYPE,B_CKDATA)/SUMPRODUCT((B_CKDATE&gt;H$31)*(B_CKDATE&lt;=I$31)*ISNUMBER(B_CKDATA)*B_SM*B_INTYPE),""),"")</f>
        <v/>
      </c>
      <c r="J48" s="302" t="str">
        <f>IF(ISNUMBER(J$30),IFERROR(SUMPRODUCT((B_CKDATE&gt;I$31)*(B_CKDATE&lt;=J$31)*ISNUMBER(B_CKDATA)*B_SM*B_INTYPE,B_CKDATA)/SUMPRODUCT((B_CKDATE&gt;I$31)*(B_CKDATE&lt;=J$31)*ISNUMBER(B_CKDATA)*B_SM*B_INTYPE),""),"")</f>
        <v/>
      </c>
      <c r="K48" s="302" t="str">
        <f>IF(ISNUMBER(K$30),IFERROR(SUMPRODUCT((B_CKDATE&gt;J$31)*(B_CKDATE&lt;=K$31)*ISNUMBER(B_CKDATA)*B_SM*B_INTYPE,B_CKDATA)/SUMPRODUCT((B_CKDATE&gt;J$31)*(B_CKDATE&lt;=K$31)*ISNUMBER(B_CKDATA)*B_SM*B_INTYPE),""),"")</f>
        <v/>
      </c>
      <c r="L48" s="302" t="str">
        <f>IF(ISNUMBER(L$30),IFERROR(SUMPRODUCT((B_CKDATE&gt;K$31)*(B_CKDATE&lt;=L$31)*ISNUMBER(B_CKDATA)*B_SM*B_INTYPE,B_CKDATA)/SUMPRODUCT((B_CKDATE&gt;K$31)*(B_CKDATE&lt;=L$31)*ISNUMBER(B_CKDATA)*B_SM*B_INTYPE),""),"")</f>
        <v/>
      </c>
      <c r="M48" s="302" t="str">
        <f>IF(ISNUMBER(M$30),IFERROR(SUMPRODUCT((B_CKDATE&gt;L$31)*(B_CKDATE&lt;=M$31)*ISNUMBER(B_CKDATA)*B_SM*B_INTYPE,B_CKDATA)/SUMPRODUCT((B_CKDATE&gt;L$31)*(B_CKDATE&lt;=M$31)*ISNUMBER(B_CKDATA)*B_SM*B_INTYPE),""),"")</f>
        <v/>
      </c>
      <c r="N48" s="302" t="str">
        <f>IF(ISNUMBER(N$30),IFERROR(SUMPRODUCT((B_CKDATE&gt;M$31)*(B_CKDATE&lt;=N$31)*ISNUMBER(B_CKDATA)*B_SM*B_INTYPE,B_CKDATA)/SUMPRODUCT((B_CKDATE&gt;M$31)*(B_CKDATE&lt;=N$31)*ISNUMBER(B_CKDATA)*B_SM*B_INTYPE),""),"")</f>
        <v/>
      </c>
      <c r="O48" s="302" t="str">
        <f>IF(ISNUMBER(O$30),IFERROR(SUMPRODUCT((B_CKDATE&gt;N$31)*(B_CKDATE&lt;=O$31)*ISNUMBER(B_CKDATA)*B_SM*B_INTYPE,B_CKDATA)/SUMPRODUCT((B_CKDATE&gt;N$31)*(B_CKDATE&lt;=O$31)*ISNUMBER(B_CKDATA)*B_SM*B_INTYPE),""),"")</f>
        <v/>
      </c>
      <c r="P48" s="302" t="str">
        <f>IF(ISNUMBER(P$30),IFERROR(SUMPRODUCT((B_CKDATE&gt;O$31)*(B_CKDATE&lt;=P$31)*ISNUMBER(B_CKDATA)*B_SM*B_INTYPE,B_CKDATA)/SUMPRODUCT((B_CKDATE&gt;O$31)*(B_CKDATE&lt;=P$31)*ISNUMBER(B_CKDATA)*B_SM*B_INTYPE),""),"")</f>
        <v/>
      </c>
      <c r="Q48" s="177"/>
    </row>
    <row r="49" spans="2:17" s="187" customFormat="1" x14ac:dyDescent="0.2">
      <c r="B49" s="266"/>
      <c r="C49" s="267" t="s">
        <v>360</v>
      </c>
      <c r="D49" s="301" t="str">
        <f>Closing!D5</f>
        <v/>
      </c>
      <c r="E49" s="302" t="str">
        <f>IF(ISNUMBER(E$30),IFERROR(SUMPRODUCT((C_CKDATE&gt;D$31)*(C_CKDATE&lt;=E$31)*ISNUMBER(C_CKDATA)*C_SM*C_INTYPE,C_CKDATA)/SUMPRODUCT((C_CKDATE&gt;D$31)*(C_CKDATE&lt;=E$31)*ISNUMBER(C_CKDATA)*C_SM*C_INTYPE),""),"")</f>
        <v/>
      </c>
      <c r="F49" s="302" t="str">
        <f>IF(ISNUMBER(F$30),IFERROR(SUMPRODUCT((C_CKDATE&gt;E$31)*(C_CKDATE&lt;=F$31)*ISNUMBER(C_CKDATA)*C_SM*C_INTYPE,C_CKDATA)/SUMPRODUCT((C_CKDATE&gt;E$31)*(C_CKDATE&lt;=F$31)*ISNUMBER(C_CKDATA)*C_SM*C_INTYPE),""),"")</f>
        <v/>
      </c>
      <c r="G49" s="302" t="str">
        <f>IF(ISNUMBER(G$30),IFERROR(SUMPRODUCT((C_CKDATE&gt;F$31)*(C_CKDATE&lt;=G$31)*ISNUMBER(C_CKDATA)*C_SM*C_INTYPE,C_CKDATA)/SUMPRODUCT((C_CKDATE&gt;F$31)*(C_CKDATE&lt;=G$31)*ISNUMBER(C_CKDATA)*C_SM*C_INTYPE),""),"")</f>
        <v/>
      </c>
      <c r="H49" s="302" t="str">
        <f>IF(ISNUMBER(H$30),IFERROR(SUMPRODUCT((C_CKDATE&gt;G$31)*(C_CKDATE&lt;=H$31)*ISNUMBER(C_CKDATA)*C_SM*C_INTYPE,C_CKDATA)/SUMPRODUCT((C_CKDATE&gt;G$31)*(C_CKDATE&lt;=H$31)*ISNUMBER(C_CKDATA)*C_SM*C_INTYPE),""),"")</f>
        <v/>
      </c>
      <c r="I49" s="302" t="str">
        <f>IF(ISNUMBER(I$30),IFERROR(SUMPRODUCT((C_CKDATE&gt;H$31)*(C_CKDATE&lt;=I$31)*ISNUMBER(C_CKDATA)*C_SM*C_INTYPE,C_CKDATA)/SUMPRODUCT((C_CKDATE&gt;H$31)*(C_CKDATE&lt;=I$31)*ISNUMBER(C_CKDATA)*C_SM*C_INTYPE),""),"")</f>
        <v/>
      </c>
      <c r="J49" s="302" t="str">
        <f>IF(ISNUMBER(J$30),IFERROR(SUMPRODUCT((C_CKDATE&gt;I$31)*(C_CKDATE&lt;=J$31)*ISNUMBER(C_CKDATA)*C_SM*C_INTYPE,C_CKDATA)/SUMPRODUCT((C_CKDATE&gt;I$31)*(C_CKDATE&lt;=J$31)*ISNUMBER(C_CKDATA)*C_SM*C_INTYPE),""),"")</f>
        <v/>
      </c>
      <c r="K49" s="302" t="str">
        <f>IF(ISNUMBER(K$30),IFERROR(SUMPRODUCT((C_CKDATE&gt;J$31)*(C_CKDATE&lt;=K$31)*ISNUMBER(C_CKDATA)*C_SM*C_INTYPE,C_CKDATA)/SUMPRODUCT((C_CKDATE&gt;J$31)*(C_CKDATE&lt;=K$31)*ISNUMBER(C_CKDATA)*C_SM*C_INTYPE),""),"")</f>
        <v/>
      </c>
      <c r="L49" s="302" t="str">
        <f>IF(ISNUMBER(L$30),IFERROR(SUMPRODUCT((C_CKDATE&gt;K$31)*(C_CKDATE&lt;=L$31)*ISNUMBER(C_CKDATA)*C_SM*C_INTYPE,C_CKDATA)/SUMPRODUCT((C_CKDATE&gt;K$31)*(C_CKDATE&lt;=L$31)*ISNUMBER(C_CKDATA)*C_SM*C_INTYPE),""),"")</f>
        <v/>
      </c>
      <c r="M49" s="302" t="str">
        <f>IF(ISNUMBER(M$30),IFERROR(SUMPRODUCT((C_CKDATE&gt;L$31)*(C_CKDATE&lt;=M$31)*ISNUMBER(C_CKDATA)*C_SM*C_INTYPE,C_CKDATA)/SUMPRODUCT((C_CKDATE&gt;L$31)*(C_CKDATE&lt;=M$31)*ISNUMBER(C_CKDATA)*C_SM*C_INTYPE),""),"")</f>
        <v/>
      </c>
      <c r="N49" s="302" t="str">
        <f>IF(ISNUMBER(N$30),IFERROR(SUMPRODUCT((C_CKDATE&gt;M$31)*(C_CKDATE&lt;=N$31)*ISNUMBER(C_CKDATA)*C_SM*C_INTYPE,C_CKDATA)/SUMPRODUCT((C_CKDATE&gt;M$31)*(C_CKDATE&lt;=N$31)*ISNUMBER(C_CKDATA)*C_SM*C_INTYPE),""),"")</f>
        <v/>
      </c>
      <c r="O49" s="302" t="str">
        <f>IF(ISNUMBER(O$30),IFERROR(SUMPRODUCT((C_CKDATE&gt;N$31)*(C_CKDATE&lt;=O$31)*ISNUMBER(C_CKDATA)*C_SM*C_INTYPE,C_CKDATA)/SUMPRODUCT((C_CKDATE&gt;N$31)*(C_CKDATE&lt;=O$31)*ISNUMBER(C_CKDATA)*C_SM*C_INTYPE),""),"")</f>
        <v/>
      </c>
      <c r="P49" s="302" t="str">
        <f>IF(ISNUMBER(P$30),IFERROR(SUMPRODUCT((C_CKDATE&gt;O$31)*(C_CKDATE&lt;=P$31)*ISNUMBER(C_CKDATA)*C_SM*C_INTYPE,C_CKDATA)/SUMPRODUCT((C_CKDATE&gt;O$31)*(C_CKDATE&lt;=P$31)*ISNUMBER(C_CKDATA)*C_SM*C_INTYPE),""),"")</f>
        <v/>
      </c>
      <c r="Q49" s="177"/>
    </row>
    <row r="50" spans="2:17" s="187" customFormat="1" x14ac:dyDescent="0.2">
      <c r="B50" s="274"/>
      <c r="C50" s="274"/>
      <c r="D50" s="275"/>
      <c r="E50" s="275"/>
      <c r="F50" s="275"/>
      <c r="G50" s="275"/>
      <c r="H50" s="275"/>
      <c r="I50" s="275"/>
      <c r="J50" s="275"/>
      <c r="K50" s="275"/>
      <c r="L50" s="275"/>
      <c r="M50" s="269"/>
      <c r="N50" s="269"/>
      <c r="O50" s="269"/>
      <c r="P50" s="177"/>
      <c r="Q50" s="177"/>
    </row>
    <row r="51" spans="2:17" s="187" customFormat="1" x14ac:dyDescent="0.2">
      <c r="B51" s="274" t="s">
        <v>738</v>
      </c>
      <c r="C51" s="274"/>
      <c r="D51" s="275"/>
      <c r="E51" s="275"/>
      <c r="F51" s="275"/>
      <c r="G51" s="274"/>
      <c r="H51" s="274" t="s">
        <v>739</v>
      </c>
      <c r="I51" s="274"/>
      <c r="J51" s="275"/>
      <c r="K51" s="275"/>
      <c r="L51" s="275"/>
      <c r="M51" s="269"/>
      <c r="N51" s="177"/>
      <c r="O51" s="177"/>
      <c r="P51" s="177"/>
      <c r="Q51" s="177"/>
    </row>
    <row r="65" spans="1:32" x14ac:dyDescent="0.2">
      <c r="A65" s="215"/>
      <c r="B65" s="467" t="s">
        <v>740</v>
      </c>
      <c r="C65" s="467"/>
      <c r="D65" s="467"/>
      <c r="E65" s="276"/>
      <c r="F65" s="276"/>
      <c r="G65" s="184"/>
      <c r="H65" s="467" t="s">
        <v>741</v>
      </c>
      <c r="I65" s="467"/>
      <c r="J65" s="467"/>
    </row>
    <row r="66" spans="1:32" x14ac:dyDescent="0.2">
      <c r="B66" s="467"/>
      <c r="C66" s="467"/>
      <c r="D66" s="467"/>
      <c r="E66" s="277"/>
      <c r="F66" s="277"/>
      <c r="G66" s="184"/>
      <c r="H66" s="467"/>
      <c r="I66" s="467"/>
      <c r="J66" s="467"/>
      <c r="K66" s="184"/>
      <c r="L66" s="184"/>
      <c r="M66" s="184"/>
      <c r="N66" s="184"/>
      <c r="P66" s="184"/>
      <c r="Q66" s="184"/>
      <c r="R66" s="184"/>
      <c r="S66" s="184"/>
      <c r="T66" s="184"/>
      <c r="U66" s="184"/>
      <c r="V66" s="184"/>
      <c r="W66" s="184"/>
      <c r="X66" s="184"/>
      <c r="Y66" s="184"/>
      <c r="Z66" s="184"/>
      <c r="AA66" s="184"/>
      <c r="AB66" s="184"/>
      <c r="AC66" s="184"/>
      <c r="AD66" s="184"/>
      <c r="AE66" s="184"/>
      <c r="AF66" s="184"/>
    </row>
    <row r="67" spans="1:32" s="278" customFormat="1" ht="20.25" customHeight="1" x14ac:dyDescent="0.2">
      <c r="F67" s="279"/>
      <c r="G67" s="279"/>
      <c r="H67" s="279"/>
      <c r="I67" s="279"/>
      <c r="J67" s="279"/>
      <c r="K67" s="279"/>
      <c r="L67" s="279"/>
      <c r="M67" s="279"/>
      <c r="N67" s="279"/>
      <c r="O67" s="177"/>
      <c r="P67" s="279"/>
      <c r="Q67" s="279"/>
      <c r="R67" s="279"/>
      <c r="S67" s="279"/>
      <c r="T67" s="279"/>
      <c r="U67" s="279"/>
      <c r="V67" s="279"/>
      <c r="W67" s="279"/>
      <c r="X67" s="279"/>
      <c r="Y67" s="279"/>
      <c r="Z67" s="279"/>
      <c r="AA67" s="279"/>
      <c r="AB67" s="279"/>
      <c r="AC67" s="279"/>
      <c r="AD67" s="279"/>
      <c r="AE67" s="279"/>
      <c r="AF67" s="280"/>
    </row>
    <row r="68" spans="1:32" ht="15" customHeight="1" x14ac:dyDescent="0.2">
      <c r="B68" s="467"/>
      <c r="C68" s="467"/>
      <c r="D68" s="467"/>
      <c r="F68" s="281"/>
      <c r="G68" s="281"/>
      <c r="H68" s="281"/>
      <c r="I68" s="467"/>
      <c r="J68" s="467"/>
      <c r="K68" s="467"/>
      <c r="L68" s="281"/>
      <c r="M68" s="281"/>
      <c r="N68" s="281"/>
      <c r="P68" s="281"/>
      <c r="Q68" s="281"/>
      <c r="R68" s="281"/>
      <c r="S68" s="281"/>
      <c r="T68" s="281"/>
      <c r="U68" s="281"/>
      <c r="V68" s="281"/>
      <c r="W68" s="281"/>
      <c r="X68" s="281"/>
      <c r="Y68" s="281"/>
      <c r="Z68" s="281"/>
      <c r="AA68" s="281"/>
      <c r="AB68" s="281"/>
      <c r="AC68" s="281"/>
      <c r="AD68" s="281"/>
      <c r="AE68" s="281"/>
      <c r="AF68" s="184"/>
    </row>
    <row r="69" spans="1:32" ht="15" customHeight="1" x14ac:dyDescent="0.2">
      <c r="F69" s="281"/>
      <c r="G69" s="281"/>
      <c r="H69" s="281"/>
      <c r="I69" s="281"/>
      <c r="J69" s="281"/>
      <c r="K69" s="281"/>
      <c r="L69" s="281"/>
      <c r="M69" s="281"/>
      <c r="N69" s="281"/>
      <c r="O69" s="281"/>
      <c r="P69" s="281"/>
      <c r="Q69" s="281"/>
      <c r="R69" s="281"/>
      <c r="S69" s="281"/>
      <c r="T69" s="281"/>
      <c r="U69" s="281"/>
      <c r="V69" s="281"/>
      <c r="W69" s="281"/>
      <c r="X69" s="281"/>
      <c r="Y69" s="281"/>
      <c r="Z69" s="281"/>
      <c r="AA69" s="281"/>
      <c r="AB69" s="281"/>
      <c r="AC69" s="281"/>
      <c r="AD69" s="281"/>
      <c r="AE69" s="281"/>
      <c r="AF69" s="184"/>
    </row>
    <row r="70" spans="1:32" ht="15" customHeight="1" x14ac:dyDescent="0.2">
      <c r="B70" s="467"/>
      <c r="C70" s="467"/>
      <c r="D70" s="467"/>
      <c r="F70" s="281"/>
      <c r="G70" s="281"/>
      <c r="H70" s="467"/>
      <c r="I70" s="467"/>
      <c r="J70" s="467"/>
      <c r="K70" s="281"/>
      <c r="L70" s="281"/>
      <c r="M70" s="281"/>
      <c r="N70" s="281"/>
      <c r="O70" s="281"/>
      <c r="P70" s="281"/>
      <c r="Q70" s="281"/>
      <c r="R70" s="281"/>
      <c r="S70" s="281"/>
      <c r="T70" s="281"/>
      <c r="U70" s="281"/>
      <c r="V70" s="281"/>
      <c r="W70" s="281"/>
      <c r="X70" s="281"/>
      <c r="Y70" s="281"/>
      <c r="Z70" s="281"/>
      <c r="AA70" s="281"/>
      <c r="AB70" s="281"/>
      <c r="AC70" s="281"/>
      <c r="AD70" s="281"/>
      <c r="AE70" s="281"/>
      <c r="AF70" s="184"/>
    </row>
    <row r="71" spans="1:32" ht="15" customHeight="1" x14ac:dyDescent="0.2">
      <c r="F71" s="281"/>
      <c r="G71" s="281"/>
      <c r="H71" s="281"/>
      <c r="I71" s="281"/>
      <c r="J71" s="281"/>
      <c r="K71" s="281"/>
      <c r="L71" s="281"/>
      <c r="M71" s="281"/>
      <c r="N71" s="281"/>
      <c r="O71" s="281"/>
      <c r="P71" s="281"/>
      <c r="Q71" s="281"/>
      <c r="R71" s="281"/>
      <c r="S71" s="281"/>
      <c r="T71" s="281"/>
      <c r="U71" s="281"/>
      <c r="V71" s="281"/>
      <c r="W71" s="281"/>
      <c r="X71" s="281"/>
      <c r="Y71" s="281"/>
      <c r="Z71" s="281"/>
      <c r="AA71" s="281"/>
      <c r="AB71" s="281"/>
      <c r="AC71" s="281"/>
      <c r="AD71" s="281"/>
      <c r="AE71" s="281"/>
      <c r="AF71" s="184"/>
    </row>
    <row r="72" spans="1:32" ht="15" customHeight="1" x14ac:dyDescent="0.2">
      <c r="F72" s="281"/>
      <c r="G72" s="281"/>
      <c r="H72" s="281"/>
      <c r="I72" s="281"/>
      <c r="J72" s="281"/>
      <c r="K72" s="281"/>
      <c r="L72" s="281"/>
      <c r="M72" s="281"/>
      <c r="N72" s="281"/>
      <c r="O72" s="281"/>
      <c r="P72" s="281"/>
      <c r="Q72" s="281"/>
      <c r="R72" s="281"/>
      <c r="S72" s="281"/>
      <c r="T72" s="281"/>
      <c r="U72" s="281"/>
      <c r="V72" s="281"/>
      <c r="W72" s="281"/>
      <c r="X72" s="281"/>
      <c r="Y72" s="281"/>
      <c r="Z72" s="281"/>
      <c r="AA72" s="281"/>
      <c r="AB72" s="281"/>
      <c r="AC72" s="281"/>
      <c r="AD72" s="281"/>
      <c r="AE72" s="281"/>
      <c r="AF72" s="184"/>
    </row>
    <row r="73" spans="1:32" ht="15" customHeight="1" x14ac:dyDescent="0.2">
      <c r="B73" s="282"/>
      <c r="C73" s="282"/>
      <c r="D73" s="283"/>
      <c r="E73" s="281"/>
      <c r="F73" s="281"/>
      <c r="G73" s="281"/>
      <c r="H73" s="281"/>
      <c r="I73" s="281"/>
      <c r="J73" s="281"/>
      <c r="K73" s="281"/>
      <c r="L73" s="281"/>
      <c r="M73" s="281"/>
      <c r="N73" s="281"/>
      <c r="O73" s="281"/>
      <c r="P73" s="281"/>
      <c r="Q73" s="281"/>
      <c r="R73" s="281"/>
      <c r="S73" s="281"/>
      <c r="T73" s="281"/>
      <c r="U73" s="281"/>
      <c r="V73" s="281"/>
      <c r="W73" s="281"/>
      <c r="X73" s="281"/>
      <c r="Y73" s="281"/>
      <c r="Z73" s="281"/>
      <c r="AA73" s="281"/>
      <c r="AB73" s="281"/>
      <c r="AC73" s="281"/>
      <c r="AD73" s="281"/>
      <c r="AE73" s="281"/>
      <c r="AF73" s="184"/>
    </row>
    <row r="74" spans="1:32" ht="15" customHeight="1" x14ac:dyDescent="0.2">
      <c r="B74" s="282"/>
      <c r="C74" s="282"/>
      <c r="D74" s="283"/>
      <c r="E74" s="281"/>
      <c r="F74" s="281"/>
      <c r="G74" s="281"/>
      <c r="H74" s="281"/>
      <c r="I74" s="284"/>
      <c r="K74" s="281"/>
      <c r="L74" s="281"/>
      <c r="M74" s="281"/>
      <c r="N74" s="281"/>
      <c r="O74" s="281"/>
      <c r="P74" s="281"/>
      <c r="Q74" s="281"/>
      <c r="R74" s="281"/>
      <c r="S74" s="281"/>
      <c r="T74" s="281"/>
      <c r="U74" s="281"/>
      <c r="V74" s="281"/>
      <c r="W74" s="281"/>
      <c r="X74" s="281"/>
      <c r="Y74" s="281"/>
      <c r="Z74" s="281"/>
      <c r="AA74" s="281"/>
      <c r="AB74" s="281"/>
      <c r="AC74" s="281"/>
      <c r="AD74" s="281"/>
      <c r="AE74" s="281"/>
      <c r="AF74" s="184"/>
    </row>
    <row r="75" spans="1:32" ht="15" customHeight="1" x14ac:dyDescent="0.2">
      <c r="B75" s="282"/>
      <c r="C75" s="282"/>
      <c r="D75" s="283"/>
      <c r="E75" s="281"/>
      <c r="F75" s="281"/>
      <c r="G75" s="281"/>
      <c r="H75" s="281"/>
      <c r="I75" s="284"/>
      <c r="K75" s="281"/>
      <c r="L75" s="281"/>
      <c r="M75" s="281"/>
      <c r="N75" s="281"/>
      <c r="O75" s="281"/>
      <c r="P75" s="281"/>
      <c r="Q75" s="281"/>
      <c r="R75" s="281"/>
      <c r="S75" s="281"/>
      <c r="T75" s="281"/>
      <c r="U75" s="281"/>
      <c r="V75" s="281"/>
      <c r="W75" s="281"/>
      <c r="X75" s="281"/>
      <c r="Y75" s="281"/>
      <c r="Z75" s="281"/>
      <c r="AA75" s="281"/>
      <c r="AB75" s="281"/>
      <c r="AC75" s="281"/>
      <c r="AD75" s="281"/>
      <c r="AE75" s="281"/>
      <c r="AF75" s="184"/>
    </row>
    <row r="76" spans="1:32" x14ac:dyDescent="0.2">
      <c r="B76" s="467" t="s">
        <v>386</v>
      </c>
      <c r="C76" s="467"/>
      <c r="D76" s="467"/>
      <c r="E76" s="277"/>
      <c r="F76" s="284"/>
      <c r="J76" s="284"/>
    </row>
    <row r="77" spans="1:32" x14ac:dyDescent="0.2">
      <c r="B77" s="285"/>
      <c r="C77" s="285"/>
      <c r="D77" s="285"/>
      <c r="E77" s="277"/>
      <c r="F77" s="277"/>
      <c r="G77" s="184"/>
      <c r="H77" s="184"/>
      <c r="I77" s="184"/>
      <c r="J77" s="184"/>
      <c r="K77" s="184"/>
      <c r="L77" s="184"/>
      <c r="M77" s="184"/>
      <c r="N77" s="184"/>
      <c r="O77" s="184"/>
      <c r="P77" s="184"/>
      <c r="Q77" s="184"/>
      <c r="R77" s="184"/>
      <c r="S77" s="184"/>
      <c r="T77" s="184"/>
      <c r="U77" s="184"/>
      <c r="V77" s="184"/>
      <c r="W77" s="184"/>
      <c r="X77" s="184"/>
      <c r="Y77" s="184"/>
      <c r="Z77" s="184"/>
      <c r="AA77" s="184"/>
      <c r="AB77" s="184"/>
      <c r="AC77" s="184"/>
      <c r="AD77" s="184"/>
      <c r="AE77" s="184"/>
    </row>
    <row r="78" spans="1:32" s="278" customFormat="1" ht="33.75" customHeight="1" x14ac:dyDescent="0.2">
      <c r="B78" s="471" t="s">
        <v>287</v>
      </c>
      <c r="C78" s="472"/>
      <c r="D78" s="56" t="s">
        <v>316</v>
      </c>
      <c r="E78" s="56">
        <f t="shared" ref="E78:M78" si="3">IF(OR(PRJ_START="&lt;dd-mmm-yy&gt;",NOT(ISNUMBER(PRJ_START))),"mmm-yy",DATE(YEAR(PRJ_START),MONTH(PRJ_START)+COLUMN()-COLUMN($E$30)+1,0))</f>
        <v>42490</v>
      </c>
      <c r="F78" s="56">
        <f t="shared" si="3"/>
        <v>42521</v>
      </c>
      <c r="G78" s="56">
        <f t="shared" si="3"/>
        <v>42551</v>
      </c>
      <c r="H78" s="56">
        <f t="shared" si="3"/>
        <v>42582</v>
      </c>
      <c r="I78" s="56">
        <f t="shared" si="3"/>
        <v>42613</v>
      </c>
      <c r="J78" s="56">
        <f t="shared" si="3"/>
        <v>42643</v>
      </c>
      <c r="K78" s="56">
        <f t="shared" si="3"/>
        <v>42674</v>
      </c>
      <c r="L78" s="56">
        <f t="shared" si="3"/>
        <v>42704</v>
      </c>
      <c r="M78" s="56">
        <f t="shared" si="3"/>
        <v>42735</v>
      </c>
      <c r="N78" s="279"/>
      <c r="O78" s="279"/>
      <c r="P78" s="279"/>
      <c r="Q78" s="279"/>
      <c r="R78" s="279"/>
      <c r="S78" s="279"/>
      <c r="T78" s="279"/>
      <c r="U78" s="279"/>
      <c r="V78" s="279"/>
      <c r="W78" s="279"/>
      <c r="X78" s="279"/>
      <c r="Y78" s="279"/>
      <c r="Z78" s="279"/>
      <c r="AA78" s="279"/>
      <c r="AB78" s="279"/>
      <c r="AC78" s="279"/>
      <c r="AD78" s="279"/>
      <c r="AE78" s="279"/>
      <c r="AF78" s="279"/>
    </row>
    <row r="79" spans="1:32" s="278" customFormat="1" hidden="1" x14ac:dyDescent="0.2">
      <c r="B79" s="286"/>
      <c r="C79" s="287"/>
      <c r="D79" s="55">
        <f>IF($C$9="",DATE(YEAR(E$30),MONTH(E$30),1)-1,DATE(YEAR(E$30),MONTH(E$30)-1,$C$9))</f>
        <v>42455</v>
      </c>
      <c r="E79" s="55">
        <f>IF($C$9="",DATE(YEAR(E$30),MONTH(E$30)+1,1)-1,DATE(YEAR(E$30),MONTH(E$30),$C$9))</f>
        <v>42486</v>
      </c>
      <c r="F79" s="55">
        <f t="shared" ref="F79:M79" si="4">IF($C$9="",DATE(YEAR(F$30),MONTH(F$30)+1,1)-1,DATE(YEAR(F$30),MONTH(F$30),$C$9))</f>
        <v>42516</v>
      </c>
      <c r="G79" s="55">
        <f t="shared" si="4"/>
        <v>42547</v>
      </c>
      <c r="H79" s="55">
        <f t="shared" si="4"/>
        <v>42577</v>
      </c>
      <c r="I79" s="55">
        <f t="shared" si="4"/>
        <v>42608</v>
      </c>
      <c r="J79" s="55">
        <f t="shared" si="4"/>
        <v>42639</v>
      </c>
      <c r="K79" s="55">
        <f t="shared" si="4"/>
        <v>42669</v>
      </c>
      <c r="L79" s="55">
        <f t="shared" si="4"/>
        <v>42700</v>
      </c>
      <c r="M79" s="55">
        <f t="shared" si="4"/>
        <v>42730</v>
      </c>
      <c r="N79" s="279"/>
      <c r="O79" s="279"/>
      <c r="P79" s="279"/>
      <c r="Q79" s="279"/>
      <c r="R79" s="279"/>
      <c r="S79" s="279"/>
      <c r="T79" s="279"/>
      <c r="U79" s="279"/>
      <c r="V79" s="279"/>
      <c r="W79" s="279"/>
      <c r="X79" s="279"/>
      <c r="Y79" s="279"/>
      <c r="Z79" s="279"/>
      <c r="AA79" s="279"/>
      <c r="AB79" s="279"/>
      <c r="AC79" s="279"/>
      <c r="AD79" s="279"/>
      <c r="AE79" s="279"/>
      <c r="AF79" s="279"/>
    </row>
    <row r="80" spans="1:32" ht="15" customHeight="1" x14ac:dyDescent="0.2">
      <c r="B80" s="473" t="s">
        <v>647</v>
      </c>
      <c r="C80" s="474"/>
      <c r="D80" s="302" t="str">
        <f>IFERROR((SUMPRODUCT(ISNUMBER(P_CKDATE)*(P_CAT=$B80)*ISNUMBER(P_CKDATA)*P_INTYPE,P_CKDATA)+SUMPRODUCT(ISNUMBER(W_CKDATE)*(W_CAT=$B80)*ISNUMBER(W_CKDATA)*W_INTYPE,W_CKDATA)+SUMPRODUCT(ISNUMBER(M_CKDATE)*(M_CAT=$B80)*ISNUMBER(M_CKDATA)*M_INTYPE,M_CKDATA)+SUMPRODUCT(ISNUMBER(B_CKDATE)*(B_CAT=$B80)*ISNUMBER(B_CKDATA)*B_INTYPE,B_CKDATA)+SUMPRODUCT(ISNUMBER(C_CKDATE)*(C_CAT=$B80)*ISNUMBER(C_CKDATA)*C_INTYPE,C_CKDATA))/(SUMPRODUCT(ISNUMBER(P_CKDATE)*(P_CAT=$B80)*ISNUMBER(P_CKDATA)*P_INTYPE)+SUMPRODUCT(ISNUMBER(W_CKDATE)*(W_CAT=$B80)*ISNUMBER(W_CKDATA)*W_INTYPE)+SUMPRODUCT(ISNUMBER(M_CKDATE)*(M_CAT=$B80)*ISNUMBER(M_CKDATA)*M_INTYPE)+SUMPRODUCT(ISNUMBER(B_CKDATE)*(B_CAT=$B80)*ISNUMBER(B_CKDATA)*B_INTYPE)+SUMPRODUCT(ISNUMBER(C_CKDATE)*(C_CAT=$B80)*ISNUMBER(C_CKDATA)*C_INTYPE)),"")</f>
        <v/>
      </c>
      <c r="E80" s="302" t="str">
        <f>IF(ISNUMBER(E$78),IFERROR((SUMPRODUCT((P_CKDATE&gt;D$79)*(P_CKDATE&lt;=E$79)*(P_CAT=$B80)*ISNUMBER(P_CKDATA)*P_INTYPE,P_CKDATA)+SUMPRODUCT((W_CKDATE&gt;D$79)*(W_CKDATE&lt;=E$79)*(W_CAT=$B80)*ISNUMBER(W_CKDATA)*W_INTYPE,W_CKDATA)+SUMPRODUCT((M_CKDATE&gt;D$79)*(M_CKDATE&lt;=E$79)*(M_CAT=$B80)*ISNUMBER(M_CKDATA)*M_INTYPE,M_CKDATA)+SUMPRODUCT((B_CKDATE&gt;D$79)*(B_CKDATE&lt;=E$79)*(B_CAT=$B80)*ISNUMBER(B_CKDATA)*B_INTYPE,B_CKDATA)+SUMPRODUCT((C_CKDATE&gt;D$79)*(C_CKDATE&lt;=E$79)*(C_CAT=$B80)*ISNUMBER(C_CKDATA)*C_INTYPE,C_CKDATA))/(SUMPRODUCT((P_CKDATE&gt;D$79)*(P_CKDATE&lt;=E$79)*(P_CAT=$B80)*ISNUMBER(P_CKDATA)*P_INTYPE)+SUMPRODUCT((W_CKDATE&gt;D$79)*(W_CKDATE&lt;=E$79)*(W_CAT=$B80)*ISNUMBER(W_CKDATA)*W_INTYPE)+SUMPRODUCT((M_CKDATE&gt;D$79)*(M_CKDATE&lt;=E$79)*(M_CAT=$B80)*ISNUMBER(M_CKDATA)*M_INTYPE)+SUMPRODUCT((B_CKDATE&gt;D$79)*(B_CKDATE&lt;=E$79)*(B_CAT=$B80)*ISNUMBER(B_CKDATA)*B_INTYPE)+SUMPRODUCT((C_CKDATE&gt;D$79)*(C_CKDATE&lt;=E$79)*(C_CAT=$B80)*ISNUMBER(C_CKDATA)*C_INTYPE)),""),"")</f>
        <v/>
      </c>
      <c r="F80" s="302" t="str">
        <f>IF(ISNUMBER(F$78),IFERROR((SUMPRODUCT((P_CKDATE&gt;E$79)*(P_CKDATE&lt;=F$79)*(P_CAT=$B80)*ISNUMBER(P_CKDATA)*P_INTYPE,P_CKDATA)+SUMPRODUCT((W_CKDATE&gt;E$79)*(W_CKDATE&lt;=F$79)*(W_CAT=$B80)*ISNUMBER(W_CKDATA)*W_INTYPE,W_CKDATA)+SUMPRODUCT((M_CKDATE&gt;E$79)*(M_CKDATE&lt;=F$79)*(M_CAT=$B80)*ISNUMBER(M_CKDATA)*M_INTYPE,M_CKDATA)+SUMPRODUCT((B_CKDATE&gt;E$79)*(B_CKDATE&lt;=F$79)*(B_CAT=$B80)*ISNUMBER(B_CKDATA)*B_INTYPE,B_CKDATA)+SUMPRODUCT((C_CKDATE&gt;E$79)*(C_CKDATE&lt;=F$79)*(C_CAT=$B80)*ISNUMBER(C_CKDATA)*C_INTYPE,C_CKDATA))/(SUMPRODUCT((P_CKDATE&gt;E$79)*(P_CKDATE&lt;=F$79)*(P_CAT=$B80)*ISNUMBER(P_CKDATA)*P_INTYPE)+SUMPRODUCT((W_CKDATE&gt;E$79)*(W_CKDATE&lt;=F$79)*(W_CAT=$B80)*ISNUMBER(W_CKDATA)*W_INTYPE)+SUMPRODUCT((M_CKDATE&gt;E$79)*(M_CKDATE&lt;=F$79)*(M_CAT=$B80)*ISNUMBER(M_CKDATA)*M_INTYPE)+SUMPRODUCT((B_CKDATE&gt;E$79)*(B_CKDATE&lt;=F$79)*(B_CAT=$B80)*ISNUMBER(B_CKDATA)*B_INTYPE)+SUMPRODUCT((C_CKDATE&gt;E$79)*(C_CKDATE&lt;=F$79)*(C_CAT=$B80)*ISNUMBER(C_CKDATA)*C_INTYPE)),""),"")</f>
        <v/>
      </c>
      <c r="G80" s="302" t="str">
        <f>IF(ISNUMBER(G$78),IFERROR((SUMPRODUCT((P_CKDATE&gt;F$79)*(P_CKDATE&lt;=G$79)*(P_CAT=$B80)*ISNUMBER(P_CKDATA)*P_INTYPE,P_CKDATA)+SUMPRODUCT((W_CKDATE&gt;F$79)*(W_CKDATE&lt;=G$79)*(W_CAT=$B80)*ISNUMBER(W_CKDATA)*W_INTYPE,W_CKDATA)+SUMPRODUCT((M_CKDATE&gt;F$79)*(M_CKDATE&lt;=G$79)*(M_CAT=$B80)*ISNUMBER(M_CKDATA)*M_INTYPE,M_CKDATA)+SUMPRODUCT((B_CKDATE&gt;F$79)*(B_CKDATE&lt;=G$79)*(B_CAT=$B80)*ISNUMBER(B_CKDATA)*B_INTYPE,B_CKDATA)+SUMPRODUCT((C_CKDATE&gt;F$79)*(C_CKDATE&lt;=G$79)*(C_CAT=$B80)*ISNUMBER(C_CKDATA)*C_INTYPE,C_CKDATA))/(SUMPRODUCT((P_CKDATE&gt;F$79)*(P_CKDATE&lt;=G$79)*(P_CAT=$B80)*ISNUMBER(P_CKDATA)*P_INTYPE)+SUMPRODUCT((W_CKDATE&gt;F$79)*(W_CKDATE&lt;=G$79)*(W_CAT=$B80)*ISNUMBER(W_CKDATA)*W_INTYPE)+SUMPRODUCT((M_CKDATE&gt;F$79)*(M_CKDATE&lt;=G$79)*(M_CAT=$B80)*ISNUMBER(M_CKDATA)*M_INTYPE)+SUMPRODUCT((B_CKDATE&gt;F$79)*(B_CKDATE&lt;=G$79)*(B_CAT=$B80)*ISNUMBER(B_CKDATA)*B_INTYPE)+SUMPRODUCT((C_CKDATE&gt;F$79)*(C_CKDATE&lt;=G$79)*(C_CAT=$B80)*ISNUMBER(C_CKDATA)*C_INTYPE)),""),"")</f>
        <v/>
      </c>
      <c r="H80" s="302" t="str">
        <f>IF(ISNUMBER(H$78),IFERROR((SUMPRODUCT((P_CKDATE&gt;G$79)*(P_CKDATE&lt;=H$79)*(P_CAT=$B80)*ISNUMBER(P_CKDATA)*P_INTYPE,P_CKDATA)+SUMPRODUCT((W_CKDATE&gt;G$79)*(W_CKDATE&lt;=H$79)*(W_CAT=$B80)*ISNUMBER(W_CKDATA)*W_INTYPE,W_CKDATA)+SUMPRODUCT((M_CKDATE&gt;G$79)*(M_CKDATE&lt;=H$79)*(M_CAT=$B80)*ISNUMBER(M_CKDATA)*M_INTYPE,M_CKDATA)+SUMPRODUCT((B_CKDATE&gt;G$79)*(B_CKDATE&lt;=H$79)*(B_CAT=$B80)*ISNUMBER(B_CKDATA)*B_INTYPE,B_CKDATA)+SUMPRODUCT((C_CKDATE&gt;G$79)*(C_CKDATE&lt;=H$79)*(C_CAT=$B80)*ISNUMBER(C_CKDATA)*C_INTYPE,C_CKDATA))/(SUMPRODUCT((P_CKDATE&gt;G$79)*(P_CKDATE&lt;=H$79)*(P_CAT=$B80)*ISNUMBER(P_CKDATA)*P_INTYPE)+SUMPRODUCT((W_CKDATE&gt;G$79)*(W_CKDATE&lt;=H$79)*(W_CAT=$B80)*ISNUMBER(W_CKDATA)*W_INTYPE)+SUMPRODUCT((M_CKDATE&gt;G$79)*(M_CKDATE&lt;=H$79)*(M_CAT=$B80)*ISNUMBER(M_CKDATA)*M_INTYPE)+SUMPRODUCT((B_CKDATE&gt;G$79)*(B_CKDATE&lt;=H$79)*(B_CAT=$B80)*ISNUMBER(B_CKDATA)*B_INTYPE)+SUMPRODUCT((C_CKDATE&gt;G$79)*(C_CKDATE&lt;=H$79)*(C_CAT=$B80)*ISNUMBER(C_CKDATA)*C_INTYPE)),""),"")</f>
        <v/>
      </c>
      <c r="I80" s="302" t="str">
        <f>IF(ISNUMBER(I$78),IFERROR((SUMPRODUCT((P_CKDATE&gt;H$79)*(P_CKDATE&lt;=I$79)*(P_CAT=$B80)*ISNUMBER(P_CKDATA)*P_INTYPE,P_CKDATA)+SUMPRODUCT((W_CKDATE&gt;H$79)*(W_CKDATE&lt;=I$79)*(W_CAT=$B80)*ISNUMBER(W_CKDATA)*W_INTYPE,W_CKDATA)+SUMPRODUCT((M_CKDATE&gt;H$79)*(M_CKDATE&lt;=I$79)*(M_CAT=$B80)*ISNUMBER(M_CKDATA)*M_INTYPE,M_CKDATA)+SUMPRODUCT((B_CKDATE&gt;H$79)*(B_CKDATE&lt;=I$79)*(B_CAT=$B80)*ISNUMBER(B_CKDATA)*B_INTYPE,B_CKDATA)+SUMPRODUCT((C_CKDATE&gt;H$79)*(C_CKDATE&lt;=I$79)*(C_CAT=$B80)*ISNUMBER(C_CKDATA)*C_INTYPE,C_CKDATA))/(SUMPRODUCT((P_CKDATE&gt;H$79)*(P_CKDATE&lt;=I$79)*(P_CAT=$B80)*ISNUMBER(P_CKDATA)*P_INTYPE)+SUMPRODUCT((W_CKDATE&gt;H$79)*(W_CKDATE&lt;=I$79)*(W_CAT=$B80)*ISNUMBER(W_CKDATA)*W_INTYPE)+SUMPRODUCT((M_CKDATE&gt;H$79)*(M_CKDATE&lt;=I$79)*(M_CAT=$B80)*ISNUMBER(M_CKDATA)*M_INTYPE)+SUMPRODUCT((B_CKDATE&gt;H$79)*(B_CKDATE&lt;=I$79)*(B_CAT=$B80)*ISNUMBER(B_CKDATA)*B_INTYPE)+SUMPRODUCT((C_CKDATE&gt;H$79)*(C_CKDATE&lt;=I$79)*(C_CAT=$B80)*ISNUMBER(C_CKDATA)*C_INTYPE)),""),"")</f>
        <v/>
      </c>
      <c r="J80" s="302" t="str">
        <f>IF(ISNUMBER(J$78),IFERROR((SUMPRODUCT((P_CKDATE&gt;I$79)*(P_CKDATE&lt;=J$79)*(P_CAT=$B80)*ISNUMBER(P_CKDATA)*P_INTYPE,P_CKDATA)+SUMPRODUCT((W_CKDATE&gt;I$79)*(W_CKDATE&lt;=J$79)*(W_CAT=$B80)*ISNUMBER(W_CKDATA)*W_INTYPE,W_CKDATA)+SUMPRODUCT((M_CKDATE&gt;I$79)*(M_CKDATE&lt;=J$79)*(M_CAT=$B80)*ISNUMBER(M_CKDATA)*M_INTYPE,M_CKDATA)+SUMPRODUCT((B_CKDATE&gt;I$79)*(B_CKDATE&lt;=J$79)*(B_CAT=$B80)*ISNUMBER(B_CKDATA)*B_INTYPE,B_CKDATA)+SUMPRODUCT((C_CKDATE&gt;I$79)*(C_CKDATE&lt;=J$79)*(C_CAT=$B80)*ISNUMBER(C_CKDATA)*C_INTYPE,C_CKDATA))/(SUMPRODUCT((P_CKDATE&gt;I$79)*(P_CKDATE&lt;=J$79)*(P_CAT=$B80)*ISNUMBER(P_CKDATA)*P_INTYPE)+SUMPRODUCT((W_CKDATE&gt;I$79)*(W_CKDATE&lt;=J$79)*(W_CAT=$B80)*ISNUMBER(W_CKDATA)*W_INTYPE)+SUMPRODUCT((M_CKDATE&gt;I$79)*(M_CKDATE&lt;=J$79)*(M_CAT=$B80)*ISNUMBER(M_CKDATA)*M_INTYPE)+SUMPRODUCT((B_CKDATE&gt;I$79)*(B_CKDATE&lt;=J$79)*(B_CAT=$B80)*ISNUMBER(B_CKDATA)*B_INTYPE)+SUMPRODUCT((C_CKDATE&gt;I$79)*(C_CKDATE&lt;=J$79)*(C_CAT=$B80)*ISNUMBER(C_CKDATA)*C_INTYPE)),""),"")</f>
        <v/>
      </c>
      <c r="K80" s="302" t="str">
        <f>IF(ISNUMBER(K$78),IFERROR((SUMPRODUCT((P_CKDATE&gt;J$79)*(P_CKDATE&lt;=K$79)*(P_CAT=$B80)*ISNUMBER(P_CKDATA)*P_INTYPE,P_CKDATA)+SUMPRODUCT((W_CKDATE&gt;J$79)*(W_CKDATE&lt;=K$79)*(W_CAT=$B80)*ISNUMBER(W_CKDATA)*W_INTYPE,W_CKDATA)+SUMPRODUCT((M_CKDATE&gt;J$79)*(M_CKDATE&lt;=K$79)*(M_CAT=$B80)*ISNUMBER(M_CKDATA)*M_INTYPE,M_CKDATA)+SUMPRODUCT((B_CKDATE&gt;J$79)*(B_CKDATE&lt;=K$79)*(B_CAT=$B80)*ISNUMBER(B_CKDATA)*B_INTYPE,B_CKDATA)+SUMPRODUCT((C_CKDATE&gt;J$79)*(C_CKDATE&lt;=K$79)*(C_CAT=$B80)*ISNUMBER(C_CKDATA)*C_INTYPE,C_CKDATA))/(SUMPRODUCT((P_CKDATE&gt;J$79)*(P_CKDATE&lt;=K$79)*(P_CAT=$B80)*ISNUMBER(P_CKDATA)*P_INTYPE)+SUMPRODUCT((W_CKDATE&gt;J$79)*(W_CKDATE&lt;=K$79)*(W_CAT=$B80)*ISNUMBER(W_CKDATA)*W_INTYPE)+SUMPRODUCT((M_CKDATE&gt;J$79)*(M_CKDATE&lt;=K$79)*(M_CAT=$B80)*ISNUMBER(M_CKDATA)*M_INTYPE)+SUMPRODUCT((B_CKDATE&gt;J$79)*(B_CKDATE&lt;=K$79)*(B_CAT=$B80)*ISNUMBER(B_CKDATA)*B_INTYPE)+SUMPRODUCT((C_CKDATE&gt;J$79)*(C_CKDATE&lt;=K$79)*(C_CAT=$B80)*ISNUMBER(C_CKDATA)*C_INTYPE)),""),"")</f>
        <v/>
      </c>
      <c r="L80" s="302" t="str">
        <f>IF(ISNUMBER(L$78),IFERROR((SUMPRODUCT((P_CKDATE&gt;K$79)*(P_CKDATE&lt;=L$79)*(P_CAT=$B80)*ISNUMBER(P_CKDATA)*P_INTYPE,P_CKDATA)+SUMPRODUCT((W_CKDATE&gt;K$79)*(W_CKDATE&lt;=L$79)*(W_CAT=$B80)*ISNUMBER(W_CKDATA)*W_INTYPE,W_CKDATA)+SUMPRODUCT((M_CKDATE&gt;K$79)*(M_CKDATE&lt;=L$79)*(M_CAT=$B80)*ISNUMBER(M_CKDATA)*M_INTYPE,M_CKDATA)+SUMPRODUCT((B_CKDATE&gt;K$79)*(B_CKDATE&lt;=L$79)*(B_CAT=$B80)*ISNUMBER(B_CKDATA)*B_INTYPE,B_CKDATA)+SUMPRODUCT((C_CKDATE&gt;K$79)*(C_CKDATE&lt;=L$79)*(C_CAT=$B80)*ISNUMBER(C_CKDATA)*C_INTYPE,C_CKDATA))/(SUMPRODUCT((P_CKDATE&gt;K$79)*(P_CKDATE&lt;=L$79)*(P_CAT=$B80)*ISNUMBER(P_CKDATA)*P_INTYPE)+SUMPRODUCT((W_CKDATE&gt;K$79)*(W_CKDATE&lt;=L$79)*(W_CAT=$B80)*ISNUMBER(W_CKDATA)*W_INTYPE)+SUMPRODUCT((M_CKDATE&gt;K$79)*(M_CKDATE&lt;=L$79)*(M_CAT=$B80)*ISNUMBER(M_CKDATA)*M_INTYPE)+SUMPRODUCT((B_CKDATE&gt;K$79)*(B_CKDATE&lt;=L$79)*(B_CAT=$B80)*ISNUMBER(B_CKDATA)*B_INTYPE)+SUMPRODUCT((C_CKDATE&gt;K$79)*(C_CKDATE&lt;=L$79)*(C_CAT=$B80)*ISNUMBER(C_CKDATA)*C_INTYPE)),""),"")</f>
        <v/>
      </c>
      <c r="M80" s="302" t="str">
        <f>IF(ISNUMBER(M$78),IFERROR((SUMPRODUCT((P_CKDATE&gt;L$79)*(P_CKDATE&lt;=M$79)*(P_CAT=$B80)*ISNUMBER(P_CKDATA)*P_INTYPE,P_CKDATA)+SUMPRODUCT((W_CKDATE&gt;L$79)*(W_CKDATE&lt;=M$79)*(W_CAT=$B80)*ISNUMBER(W_CKDATA)*W_INTYPE,W_CKDATA)+SUMPRODUCT((M_CKDATE&gt;L$79)*(M_CKDATE&lt;=M$79)*(M_CAT=$B80)*ISNUMBER(M_CKDATA)*M_INTYPE,M_CKDATA)+SUMPRODUCT((B_CKDATE&gt;L$79)*(B_CKDATE&lt;=M$79)*(B_CAT=$B80)*ISNUMBER(B_CKDATA)*B_INTYPE,B_CKDATA)+SUMPRODUCT((C_CKDATE&gt;L$79)*(C_CKDATE&lt;=M$79)*(C_CAT=$B80)*ISNUMBER(C_CKDATA)*C_INTYPE,C_CKDATA))/(SUMPRODUCT((P_CKDATE&gt;L$79)*(P_CKDATE&lt;=M$79)*(P_CAT=$B80)*ISNUMBER(P_CKDATA)*P_INTYPE)+SUMPRODUCT((W_CKDATE&gt;L$79)*(W_CKDATE&lt;=M$79)*(W_CAT=$B80)*ISNUMBER(W_CKDATA)*W_INTYPE)+SUMPRODUCT((M_CKDATE&gt;L$79)*(M_CKDATE&lt;=M$79)*(M_CAT=$B80)*ISNUMBER(M_CKDATA)*M_INTYPE)+SUMPRODUCT((B_CKDATE&gt;L$79)*(B_CKDATE&lt;=M$79)*(B_CAT=$B80)*ISNUMBER(B_CKDATA)*B_INTYPE)+SUMPRODUCT((C_CKDATE&gt;L$79)*(C_CKDATE&lt;=M$79)*(C_CAT=$B80)*ISNUMBER(C_CKDATA)*C_INTYPE)),""),"")</f>
        <v/>
      </c>
      <c r="N80" s="288"/>
      <c r="O80" s="288"/>
      <c r="P80" s="288"/>
      <c r="Q80" s="288"/>
      <c r="R80" s="288"/>
      <c r="S80" s="288"/>
      <c r="T80" s="288"/>
      <c r="U80" s="288"/>
      <c r="V80" s="288"/>
      <c r="W80" s="288"/>
      <c r="X80" s="288"/>
      <c r="Y80" s="288"/>
      <c r="Z80" s="288"/>
      <c r="AA80" s="288"/>
      <c r="AB80" s="288"/>
      <c r="AC80" s="288"/>
      <c r="AD80" s="288"/>
      <c r="AE80" s="288"/>
      <c r="AF80" s="288"/>
    </row>
    <row r="81" spans="1:32" ht="15" customHeight="1" x14ac:dyDescent="0.2">
      <c r="B81" s="465" t="s">
        <v>289</v>
      </c>
      <c r="C81" s="466"/>
      <c r="D81" s="302" t="str">
        <f>IFERROR((SUMPRODUCT(ISNUMBER(P_CKDATE)*(P_CAT=$B81)*ISNUMBER(P_CKDATA)*P_INTYPE,P_CKDATA)+SUMPRODUCT(ISNUMBER(W_CKDATE)*(W_CAT=$B81)*ISNUMBER(W_CKDATA)*W_INTYPE,W_CKDATA)+SUMPRODUCT(ISNUMBER(M_CKDATE)*(M_CAT=$B81)*ISNUMBER(M_CKDATA)*M_INTYPE,M_CKDATA)+SUMPRODUCT(ISNUMBER(B_CKDATE)*(B_CAT=$B81)*ISNUMBER(B_CKDATA)*B_INTYPE,B_CKDATA)+SUMPRODUCT(ISNUMBER(C_CKDATE)*(C_CAT=$B81)*ISNUMBER(C_CKDATA)*C_INTYPE,C_CKDATA))/(SUMPRODUCT(ISNUMBER(P_CKDATE)*(P_CAT=$B81)*ISNUMBER(P_CKDATA)*P_INTYPE)+SUMPRODUCT(ISNUMBER(W_CKDATE)*(W_CAT=$B81)*ISNUMBER(W_CKDATA)*W_INTYPE)+SUMPRODUCT(ISNUMBER(M_CKDATE)*(M_CAT=$B81)*ISNUMBER(M_CKDATA)*M_INTYPE)+SUMPRODUCT(ISNUMBER(B_CKDATE)*(B_CAT=$B81)*ISNUMBER(B_CKDATA)*B_INTYPE)+SUMPRODUCT(ISNUMBER(C_CKDATE)*(C_CAT=$B81)*ISNUMBER(C_CKDATA)*C_INTYPE)),"")</f>
        <v/>
      </c>
      <c r="E81" s="302" t="str">
        <f>IF(ISNUMBER(E$78),IFERROR((SUMPRODUCT((P_CKDATE&gt;D$79)*(P_CKDATE&lt;=E$79)*(P_CAT=$B81)*ISNUMBER(P_CKDATA)*P_INTYPE,P_CKDATA)+SUMPRODUCT((W_CKDATE&gt;D$79)*(W_CKDATE&lt;=E$79)*(W_CAT=$B81)*ISNUMBER(W_CKDATA)*W_INTYPE,W_CKDATA)+SUMPRODUCT((M_CKDATE&gt;D$79)*(M_CKDATE&lt;=E$79)*(M_CAT=$B81)*ISNUMBER(M_CKDATA)*M_INTYPE,M_CKDATA)+SUMPRODUCT((B_CKDATE&gt;D$79)*(B_CKDATE&lt;=E$79)*(B_CAT=$B81)*ISNUMBER(B_CKDATA)*B_INTYPE,B_CKDATA)+SUMPRODUCT((C_CKDATE&gt;D$79)*(C_CKDATE&lt;=E$79)*(C_CAT=$B81)*ISNUMBER(C_CKDATA)*C_INTYPE,C_CKDATA))/(SUMPRODUCT((P_CKDATE&gt;D$79)*(P_CKDATE&lt;=E$79)*(P_CAT=$B81)*ISNUMBER(P_CKDATA)*P_INTYPE)+SUMPRODUCT((W_CKDATE&gt;D$79)*(W_CKDATE&lt;=E$79)*(W_CAT=$B81)*ISNUMBER(W_CKDATA)*W_INTYPE)+SUMPRODUCT((M_CKDATE&gt;D$79)*(M_CKDATE&lt;=E$79)*(M_CAT=$B81)*ISNUMBER(M_CKDATA)*M_INTYPE)+SUMPRODUCT((B_CKDATE&gt;D$79)*(B_CKDATE&lt;=E$79)*(B_CAT=$B81)*ISNUMBER(B_CKDATA)*B_INTYPE)+SUMPRODUCT((C_CKDATE&gt;D$79)*(C_CKDATE&lt;=E$79)*(C_CAT=$B81)*ISNUMBER(C_CKDATA)*C_INTYPE)),""),"")</f>
        <v/>
      </c>
      <c r="F81" s="302" t="str">
        <f>IF(ISNUMBER(F$78),IFERROR((SUMPRODUCT((P_CKDATE&gt;E$79)*(P_CKDATE&lt;=F$79)*(P_CAT=$B81)*ISNUMBER(P_CKDATA)*P_INTYPE,P_CKDATA)+SUMPRODUCT((W_CKDATE&gt;E$79)*(W_CKDATE&lt;=F$79)*(W_CAT=$B81)*ISNUMBER(W_CKDATA)*W_INTYPE,W_CKDATA)+SUMPRODUCT((M_CKDATE&gt;E$79)*(M_CKDATE&lt;=F$79)*(M_CAT=$B81)*ISNUMBER(M_CKDATA)*M_INTYPE,M_CKDATA)+SUMPRODUCT((B_CKDATE&gt;E$79)*(B_CKDATE&lt;=F$79)*(B_CAT=$B81)*ISNUMBER(B_CKDATA)*B_INTYPE,B_CKDATA)+SUMPRODUCT((C_CKDATE&gt;E$79)*(C_CKDATE&lt;=F$79)*(C_CAT=$B81)*ISNUMBER(C_CKDATA)*C_INTYPE,C_CKDATA))/(SUMPRODUCT((P_CKDATE&gt;E$79)*(P_CKDATE&lt;=F$79)*(P_CAT=$B81)*ISNUMBER(P_CKDATA)*P_INTYPE)+SUMPRODUCT((W_CKDATE&gt;E$79)*(W_CKDATE&lt;=F$79)*(W_CAT=$B81)*ISNUMBER(W_CKDATA)*W_INTYPE)+SUMPRODUCT((M_CKDATE&gt;E$79)*(M_CKDATE&lt;=F$79)*(M_CAT=$B81)*ISNUMBER(M_CKDATA)*M_INTYPE)+SUMPRODUCT((B_CKDATE&gt;E$79)*(B_CKDATE&lt;=F$79)*(B_CAT=$B81)*ISNUMBER(B_CKDATA)*B_INTYPE)+SUMPRODUCT((C_CKDATE&gt;E$79)*(C_CKDATE&lt;=F$79)*(C_CAT=$B81)*ISNUMBER(C_CKDATA)*C_INTYPE)),""),"")</f>
        <v/>
      </c>
      <c r="G81" s="302" t="str">
        <f>IF(ISNUMBER(G$78),IFERROR((SUMPRODUCT((P_CKDATE&gt;F$79)*(P_CKDATE&lt;=G$79)*(P_CAT=$B81)*ISNUMBER(P_CKDATA)*P_INTYPE,P_CKDATA)+SUMPRODUCT((W_CKDATE&gt;F$79)*(W_CKDATE&lt;=G$79)*(W_CAT=$B81)*ISNUMBER(W_CKDATA)*W_INTYPE,W_CKDATA)+SUMPRODUCT((M_CKDATE&gt;F$79)*(M_CKDATE&lt;=G$79)*(M_CAT=$B81)*ISNUMBER(M_CKDATA)*M_INTYPE,M_CKDATA)+SUMPRODUCT((B_CKDATE&gt;F$79)*(B_CKDATE&lt;=G$79)*(B_CAT=$B81)*ISNUMBER(B_CKDATA)*B_INTYPE,B_CKDATA)+SUMPRODUCT((C_CKDATE&gt;F$79)*(C_CKDATE&lt;=G$79)*(C_CAT=$B81)*ISNUMBER(C_CKDATA)*C_INTYPE,C_CKDATA))/(SUMPRODUCT((P_CKDATE&gt;F$79)*(P_CKDATE&lt;=G$79)*(P_CAT=$B81)*ISNUMBER(P_CKDATA)*P_INTYPE)+SUMPRODUCT((W_CKDATE&gt;F$79)*(W_CKDATE&lt;=G$79)*(W_CAT=$B81)*ISNUMBER(W_CKDATA)*W_INTYPE)+SUMPRODUCT((M_CKDATE&gt;F$79)*(M_CKDATE&lt;=G$79)*(M_CAT=$B81)*ISNUMBER(M_CKDATA)*M_INTYPE)+SUMPRODUCT((B_CKDATE&gt;F$79)*(B_CKDATE&lt;=G$79)*(B_CAT=$B81)*ISNUMBER(B_CKDATA)*B_INTYPE)+SUMPRODUCT((C_CKDATE&gt;F$79)*(C_CKDATE&lt;=G$79)*(C_CAT=$B81)*ISNUMBER(C_CKDATA)*C_INTYPE)),""),"")</f>
        <v/>
      </c>
      <c r="H81" s="302" t="str">
        <f>IF(ISNUMBER(H$78),IFERROR((SUMPRODUCT((P_CKDATE&gt;G$79)*(P_CKDATE&lt;=H$79)*(P_CAT=$B81)*ISNUMBER(P_CKDATA)*P_INTYPE,P_CKDATA)+SUMPRODUCT((W_CKDATE&gt;G$79)*(W_CKDATE&lt;=H$79)*(W_CAT=$B81)*ISNUMBER(W_CKDATA)*W_INTYPE,W_CKDATA)+SUMPRODUCT((M_CKDATE&gt;G$79)*(M_CKDATE&lt;=H$79)*(M_CAT=$B81)*ISNUMBER(M_CKDATA)*M_INTYPE,M_CKDATA)+SUMPRODUCT((B_CKDATE&gt;G$79)*(B_CKDATE&lt;=H$79)*(B_CAT=$B81)*ISNUMBER(B_CKDATA)*B_INTYPE,B_CKDATA)+SUMPRODUCT((C_CKDATE&gt;G$79)*(C_CKDATE&lt;=H$79)*(C_CAT=$B81)*ISNUMBER(C_CKDATA)*C_INTYPE,C_CKDATA))/(SUMPRODUCT((P_CKDATE&gt;G$79)*(P_CKDATE&lt;=H$79)*(P_CAT=$B81)*ISNUMBER(P_CKDATA)*P_INTYPE)+SUMPRODUCT((W_CKDATE&gt;G$79)*(W_CKDATE&lt;=H$79)*(W_CAT=$B81)*ISNUMBER(W_CKDATA)*W_INTYPE)+SUMPRODUCT((M_CKDATE&gt;G$79)*(M_CKDATE&lt;=H$79)*(M_CAT=$B81)*ISNUMBER(M_CKDATA)*M_INTYPE)+SUMPRODUCT((B_CKDATE&gt;G$79)*(B_CKDATE&lt;=H$79)*(B_CAT=$B81)*ISNUMBER(B_CKDATA)*B_INTYPE)+SUMPRODUCT((C_CKDATE&gt;G$79)*(C_CKDATE&lt;=H$79)*(C_CAT=$B81)*ISNUMBER(C_CKDATA)*C_INTYPE)),""),"")</f>
        <v/>
      </c>
      <c r="I81" s="302" t="str">
        <f>IF(ISNUMBER(I$78),IFERROR((SUMPRODUCT((P_CKDATE&gt;H$79)*(P_CKDATE&lt;=I$79)*(P_CAT=$B81)*ISNUMBER(P_CKDATA)*P_INTYPE,P_CKDATA)+SUMPRODUCT((W_CKDATE&gt;H$79)*(W_CKDATE&lt;=I$79)*(W_CAT=$B81)*ISNUMBER(W_CKDATA)*W_INTYPE,W_CKDATA)+SUMPRODUCT((M_CKDATE&gt;H$79)*(M_CKDATE&lt;=I$79)*(M_CAT=$B81)*ISNUMBER(M_CKDATA)*M_INTYPE,M_CKDATA)+SUMPRODUCT((B_CKDATE&gt;H$79)*(B_CKDATE&lt;=I$79)*(B_CAT=$B81)*ISNUMBER(B_CKDATA)*B_INTYPE,B_CKDATA)+SUMPRODUCT((C_CKDATE&gt;H$79)*(C_CKDATE&lt;=I$79)*(C_CAT=$B81)*ISNUMBER(C_CKDATA)*C_INTYPE,C_CKDATA))/(SUMPRODUCT((P_CKDATE&gt;H$79)*(P_CKDATE&lt;=I$79)*(P_CAT=$B81)*ISNUMBER(P_CKDATA)*P_INTYPE)+SUMPRODUCT((W_CKDATE&gt;H$79)*(W_CKDATE&lt;=I$79)*(W_CAT=$B81)*ISNUMBER(W_CKDATA)*W_INTYPE)+SUMPRODUCT((M_CKDATE&gt;H$79)*(M_CKDATE&lt;=I$79)*(M_CAT=$B81)*ISNUMBER(M_CKDATA)*M_INTYPE)+SUMPRODUCT((B_CKDATE&gt;H$79)*(B_CKDATE&lt;=I$79)*(B_CAT=$B81)*ISNUMBER(B_CKDATA)*B_INTYPE)+SUMPRODUCT((C_CKDATE&gt;H$79)*(C_CKDATE&lt;=I$79)*(C_CAT=$B81)*ISNUMBER(C_CKDATA)*C_INTYPE)),""),"")</f>
        <v/>
      </c>
      <c r="J81" s="302" t="str">
        <f>IF(ISNUMBER(J$78),IFERROR((SUMPRODUCT((P_CKDATE&gt;I$79)*(P_CKDATE&lt;=J$79)*(P_CAT=$B81)*ISNUMBER(P_CKDATA)*P_INTYPE,P_CKDATA)+SUMPRODUCT((W_CKDATE&gt;I$79)*(W_CKDATE&lt;=J$79)*(W_CAT=$B81)*ISNUMBER(W_CKDATA)*W_INTYPE,W_CKDATA)+SUMPRODUCT((M_CKDATE&gt;I$79)*(M_CKDATE&lt;=J$79)*(M_CAT=$B81)*ISNUMBER(M_CKDATA)*M_INTYPE,M_CKDATA)+SUMPRODUCT((B_CKDATE&gt;I$79)*(B_CKDATE&lt;=J$79)*(B_CAT=$B81)*ISNUMBER(B_CKDATA)*B_INTYPE,B_CKDATA)+SUMPRODUCT((C_CKDATE&gt;I$79)*(C_CKDATE&lt;=J$79)*(C_CAT=$B81)*ISNUMBER(C_CKDATA)*C_INTYPE,C_CKDATA))/(SUMPRODUCT((P_CKDATE&gt;I$79)*(P_CKDATE&lt;=J$79)*(P_CAT=$B81)*ISNUMBER(P_CKDATA)*P_INTYPE)+SUMPRODUCT((W_CKDATE&gt;I$79)*(W_CKDATE&lt;=J$79)*(W_CAT=$B81)*ISNUMBER(W_CKDATA)*W_INTYPE)+SUMPRODUCT((M_CKDATE&gt;I$79)*(M_CKDATE&lt;=J$79)*(M_CAT=$B81)*ISNUMBER(M_CKDATA)*M_INTYPE)+SUMPRODUCT((B_CKDATE&gt;I$79)*(B_CKDATE&lt;=J$79)*(B_CAT=$B81)*ISNUMBER(B_CKDATA)*B_INTYPE)+SUMPRODUCT((C_CKDATE&gt;I$79)*(C_CKDATE&lt;=J$79)*(C_CAT=$B81)*ISNUMBER(C_CKDATA)*C_INTYPE)),""),"")</f>
        <v/>
      </c>
      <c r="K81" s="302" t="str">
        <f>IF(ISNUMBER(K$78),IFERROR((SUMPRODUCT((P_CKDATE&gt;J$79)*(P_CKDATE&lt;=K$79)*(P_CAT=$B81)*ISNUMBER(P_CKDATA)*P_INTYPE,P_CKDATA)+SUMPRODUCT((W_CKDATE&gt;J$79)*(W_CKDATE&lt;=K$79)*(W_CAT=$B81)*ISNUMBER(W_CKDATA)*W_INTYPE,W_CKDATA)+SUMPRODUCT((M_CKDATE&gt;J$79)*(M_CKDATE&lt;=K$79)*(M_CAT=$B81)*ISNUMBER(M_CKDATA)*M_INTYPE,M_CKDATA)+SUMPRODUCT((B_CKDATE&gt;J$79)*(B_CKDATE&lt;=K$79)*(B_CAT=$B81)*ISNUMBER(B_CKDATA)*B_INTYPE,B_CKDATA)+SUMPRODUCT((C_CKDATE&gt;J$79)*(C_CKDATE&lt;=K$79)*(C_CAT=$B81)*ISNUMBER(C_CKDATA)*C_INTYPE,C_CKDATA))/(SUMPRODUCT((P_CKDATE&gt;J$79)*(P_CKDATE&lt;=K$79)*(P_CAT=$B81)*ISNUMBER(P_CKDATA)*P_INTYPE)+SUMPRODUCT((W_CKDATE&gt;J$79)*(W_CKDATE&lt;=K$79)*(W_CAT=$B81)*ISNUMBER(W_CKDATA)*W_INTYPE)+SUMPRODUCT((M_CKDATE&gt;J$79)*(M_CKDATE&lt;=K$79)*(M_CAT=$B81)*ISNUMBER(M_CKDATA)*M_INTYPE)+SUMPRODUCT((B_CKDATE&gt;J$79)*(B_CKDATE&lt;=K$79)*(B_CAT=$B81)*ISNUMBER(B_CKDATA)*B_INTYPE)+SUMPRODUCT((C_CKDATE&gt;J$79)*(C_CKDATE&lt;=K$79)*(C_CAT=$B81)*ISNUMBER(C_CKDATA)*C_INTYPE)),""),"")</f>
        <v/>
      </c>
      <c r="L81" s="302" t="str">
        <f>IF(ISNUMBER(L$78),IFERROR((SUMPRODUCT((P_CKDATE&gt;K$79)*(P_CKDATE&lt;=L$79)*(P_CAT=$B81)*ISNUMBER(P_CKDATA)*P_INTYPE,P_CKDATA)+SUMPRODUCT((W_CKDATE&gt;K$79)*(W_CKDATE&lt;=L$79)*(W_CAT=$B81)*ISNUMBER(W_CKDATA)*W_INTYPE,W_CKDATA)+SUMPRODUCT((M_CKDATE&gt;K$79)*(M_CKDATE&lt;=L$79)*(M_CAT=$B81)*ISNUMBER(M_CKDATA)*M_INTYPE,M_CKDATA)+SUMPRODUCT((B_CKDATE&gt;K$79)*(B_CKDATE&lt;=L$79)*(B_CAT=$B81)*ISNUMBER(B_CKDATA)*B_INTYPE,B_CKDATA)+SUMPRODUCT((C_CKDATE&gt;K$79)*(C_CKDATE&lt;=L$79)*(C_CAT=$B81)*ISNUMBER(C_CKDATA)*C_INTYPE,C_CKDATA))/(SUMPRODUCT((P_CKDATE&gt;K$79)*(P_CKDATE&lt;=L$79)*(P_CAT=$B81)*ISNUMBER(P_CKDATA)*P_INTYPE)+SUMPRODUCT((W_CKDATE&gt;K$79)*(W_CKDATE&lt;=L$79)*(W_CAT=$B81)*ISNUMBER(W_CKDATA)*W_INTYPE)+SUMPRODUCT((M_CKDATE&gt;K$79)*(M_CKDATE&lt;=L$79)*(M_CAT=$B81)*ISNUMBER(M_CKDATA)*M_INTYPE)+SUMPRODUCT((B_CKDATE&gt;K$79)*(B_CKDATE&lt;=L$79)*(B_CAT=$B81)*ISNUMBER(B_CKDATA)*B_INTYPE)+SUMPRODUCT((C_CKDATE&gt;K$79)*(C_CKDATE&lt;=L$79)*(C_CAT=$B81)*ISNUMBER(C_CKDATA)*C_INTYPE)),""),"")</f>
        <v/>
      </c>
      <c r="M81" s="302" t="str">
        <f>IF(ISNUMBER(M$78),IFERROR((SUMPRODUCT((P_CKDATE&gt;L$79)*(P_CKDATE&lt;=M$79)*(P_CAT=$B81)*ISNUMBER(P_CKDATA)*P_INTYPE,P_CKDATA)+SUMPRODUCT((W_CKDATE&gt;L$79)*(W_CKDATE&lt;=M$79)*(W_CAT=$B81)*ISNUMBER(W_CKDATA)*W_INTYPE,W_CKDATA)+SUMPRODUCT((M_CKDATE&gt;L$79)*(M_CKDATE&lt;=M$79)*(M_CAT=$B81)*ISNUMBER(M_CKDATA)*M_INTYPE,M_CKDATA)+SUMPRODUCT((B_CKDATE&gt;L$79)*(B_CKDATE&lt;=M$79)*(B_CAT=$B81)*ISNUMBER(B_CKDATA)*B_INTYPE,B_CKDATA)+SUMPRODUCT((C_CKDATE&gt;L$79)*(C_CKDATE&lt;=M$79)*(C_CAT=$B81)*ISNUMBER(C_CKDATA)*C_INTYPE,C_CKDATA))/(SUMPRODUCT((P_CKDATE&gt;L$79)*(P_CKDATE&lt;=M$79)*(P_CAT=$B81)*ISNUMBER(P_CKDATA)*P_INTYPE)+SUMPRODUCT((W_CKDATE&gt;L$79)*(W_CKDATE&lt;=M$79)*(W_CAT=$B81)*ISNUMBER(W_CKDATA)*W_INTYPE)+SUMPRODUCT((M_CKDATE&gt;L$79)*(M_CKDATE&lt;=M$79)*(M_CAT=$B81)*ISNUMBER(M_CKDATA)*M_INTYPE)+SUMPRODUCT((B_CKDATE&gt;L$79)*(B_CKDATE&lt;=M$79)*(B_CAT=$B81)*ISNUMBER(B_CKDATA)*B_INTYPE)+SUMPRODUCT((C_CKDATE&gt;L$79)*(C_CKDATE&lt;=M$79)*(C_CAT=$B81)*ISNUMBER(C_CKDATA)*C_INTYPE)),""),"")</f>
        <v/>
      </c>
      <c r="N81" s="288"/>
      <c r="O81" s="288"/>
      <c r="P81" s="288"/>
      <c r="Q81" s="288"/>
      <c r="R81" s="288"/>
      <c r="S81" s="288"/>
      <c r="T81" s="288"/>
      <c r="U81" s="288"/>
      <c r="V81" s="288"/>
      <c r="W81" s="288"/>
      <c r="X81" s="288"/>
      <c r="Y81" s="288"/>
      <c r="Z81" s="288"/>
      <c r="AA81" s="288"/>
      <c r="AB81" s="288"/>
      <c r="AC81" s="288"/>
      <c r="AD81" s="288"/>
      <c r="AE81" s="288"/>
      <c r="AF81" s="288"/>
    </row>
    <row r="82" spans="1:32" ht="15" customHeight="1" x14ac:dyDescent="0.2">
      <c r="B82" s="465" t="s">
        <v>283</v>
      </c>
      <c r="C82" s="466"/>
      <c r="D82" s="302" t="str">
        <f>IFERROR((SUMPRODUCT(ISNUMBER(P_CKDATE)*(P_CAT=$B82)*ISNUMBER(P_CKDATA)*P_INTYPE,P_CKDATA)+SUMPRODUCT(ISNUMBER(W_CKDATE)*(W_CAT=$B82)*ISNUMBER(W_CKDATA)*W_INTYPE,W_CKDATA)+SUMPRODUCT(ISNUMBER(M_CKDATE)*(M_CAT=$B82)*ISNUMBER(M_CKDATA)*M_INTYPE,M_CKDATA)+SUMPRODUCT(ISNUMBER(B_CKDATE)*(B_CAT=$B82)*ISNUMBER(B_CKDATA)*B_INTYPE,B_CKDATA)+SUMPRODUCT(ISNUMBER(C_CKDATE)*(C_CAT=$B82)*ISNUMBER(C_CKDATA)*C_INTYPE,C_CKDATA))/(SUMPRODUCT(ISNUMBER(P_CKDATE)*(P_CAT=$B82)*ISNUMBER(P_CKDATA)*P_INTYPE)+SUMPRODUCT(ISNUMBER(W_CKDATE)*(W_CAT=$B82)*ISNUMBER(W_CKDATA)*W_INTYPE)+SUMPRODUCT(ISNUMBER(M_CKDATE)*(M_CAT=$B82)*ISNUMBER(M_CKDATA)*M_INTYPE)+SUMPRODUCT(ISNUMBER(B_CKDATE)*(B_CAT=$B82)*ISNUMBER(B_CKDATA)*B_INTYPE)+SUMPRODUCT(ISNUMBER(C_CKDATE)*(C_CAT=$B82)*ISNUMBER(C_CKDATA)*C_INTYPE)),"")</f>
        <v/>
      </c>
      <c r="E82" s="302" t="str">
        <f>IF(ISNUMBER(E$78),IFERROR((SUMPRODUCT((P_CKDATE&gt;D$79)*(P_CKDATE&lt;=E$79)*(P_CAT=$B82)*ISNUMBER(P_CKDATA)*P_INTYPE,P_CKDATA)+SUMPRODUCT((W_CKDATE&gt;D$79)*(W_CKDATE&lt;=E$79)*(W_CAT=$B82)*ISNUMBER(W_CKDATA)*W_INTYPE,W_CKDATA)+SUMPRODUCT((M_CKDATE&gt;D$79)*(M_CKDATE&lt;=E$79)*(M_CAT=$B82)*ISNUMBER(M_CKDATA)*M_INTYPE,M_CKDATA)+SUMPRODUCT((B_CKDATE&gt;D$79)*(B_CKDATE&lt;=E$79)*(B_CAT=$B82)*ISNUMBER(B_CKDATA)*B_INTYPE,B_CKDATA)+SUMPRODUCT((C_CKDATE&gt;D$79)*(C_CKDATE&lt;=E$79)*(C_CAT=$B82)*ISNUMBER(C_CKDATA)*C_INTYPE,C_CKDATA))/(SUMPRODUCT((P_CKDATE&gt;D$79)*(P_CKDATE&lt;=E$79)*(P_CAT=$B82)*ISNUMBER(P_CKDATA)*P_INTYPE)+SUMPRODUCT((W_CKDATE&gt;D$79)*(W_CKDATE&lt;=E$79)*(W_CAT=$B82)*ISNUMBER(W_CKDATA)*W_INTYPE)+SUMPRODUCT((M_CKDATE&gt;D$79)*(M_CKDATE&lt;=E$79)*(M_CAT=$B82)*ISNUMBER(M_CKDATA)*M_INTYPE)+SUMPRODUCT((B_CKDATE&gt;D$79)*(B_CKDATE&lt;=E$79)*(B_CAT=$B82)*ISNUMBER(B_CKDATA)*B_INTYPE)+SUMPRODUCT((C_CKDATE&gt;D$79)*(C_CKDATE&lt;=E$79)*(C_CAT=$B82)*ISNUMBER(C_CKDATA)*C_INTYPE)),""),"")</f>
        <v/>
      </c>
      <c r="F82" s="302" t="str">
        <f>IF(ISNUMBER(F$78),IFERROR((SUMPRODUCT((P_CKDATE&gt;E$79)*(P_CKDATE&lt;=F$79)*(P_CAT=$B82)*ISNUMBER(P_CKDATA)*P_INTYPE,P_CKDATA)+SUMPRODUCT((W_CKDATE&gt;E$79)*(W_CKDATE&lt;=F$79)*(W_CAT=$B82)*ISNUMBER(W_CKDATA)*W_INTYPE,W_CKDATA)+SUMPRODUCT((M_CKDATE&gt;E$79)*(M_CKDATE&lt;=F$79)*(M_CAT=$B82)*ISNUMBER(M_CKDATA)*M_INTYPE,M_CKDATA)+SUMPRODUCT((B_CKDATE&gt;E$79)*(B_CKDATE&lt;=F$79)*(B_CAT=$B82)*ISNUMBER(B_CKDATA)*B_INTYPE,B_CKDATA)+SUMPRODUCT((C_CKDATE&gt;E$79)*(C_CKDATE&lt;=F$79)*(C_CAT=$B82)*ISNUMBER(C_CKDATA)*C_INTYPE,C_CKDATA))/(SUMPRODUCT((P_CKDATE&gt;E$79)*(P_CKDATE&lt;=F$79)*(P_CAT=$B82)*ISNUMBER(P_CKDATA)*P_INTYPE)+SUMPRODUCT((W_CKDATE&gt;E$79)*(W_CKDATE&lt;=F$79)*(W_CAT=$B82)*ISNUMBER(W_CKDATA)*W_INTYPE)+SUMPRODUCT((M_CKDATE&gt;E$79)*(M_CKDATE&lt;=F$79)*(M_CAT=$B82)*ISNUMBER(M_CKDATA)*M_INTYPE)+SUMPRODUCT((B_CKDATE&gt;E$79)*(B_CKDATE&lt;=F$79)*(B_CAT=$B82)*ISNUMBER(B_CKDATA)*B_INTYPE)+SUMPRODUCT((C_CKDATE&gt;E$79)*(C_CKDATE&lt;=F$79)*(C_CAT=$B82)*ISNUMBER(C_CKDATA)*C_INTYPE)),""),"")</f>
        <v/>
      </c>
      <c r="G82" s="302" t="str">
        <f>IF(ISNUMBER(G$78),IFERROR((SUMPRODUCT((P_CKDATE&gt;F$79)*(P_CKDATE&lt;=G$79)*(P_CAT=$B82)*ISNUMBER(P_CKDATA)*P_INTYPE,P_CKDATA)+SUMPRODUCT((W_CKDATE&gt;F$79)*(W_CKDATE&lt;=G$79)*(W_CAT=$B82)*ISNUMBER(W_CKDATA)*W_INTYPE,W_CKDATA)+SUMPRODUCT((M_CKDATE&gt;F$79)*(M_CKDATE&lt;=G$79)*(M_CAT=$B82)*ISNUMBER(M_CKDATA)*M_INTYPE,M_CKDATA)+SUMPRODUCT((B_CKDATE&gt;F$79)*(B_CKDATE&lt;=G$79)*(B_CAT=$B82)*ISNUMBER(B_CKDATA)*B_INTYPE,B_CKDATA)+SUMPRODUCT((C_CKDATE&gt;F$79)*(C_CKDATE&lt;=G$79)*(C_CAT=$B82)*ISNUMBER(C_CKDATA)*C_INTYPE,C_CKDATA))/(SUMPRODUCT((P_CKDATE&gt;F$79)*(P_CKDATE&lt;=G$79)*(P_CAT=$B82)*ISNUMBER(P_CKDATA)*P_INTYPE)+SUMPRODUCT((W_CKDATE&gt;F$79)*(W_CKDATE&lt;=G$79)*(W_CAT=$B82)*ISNUMBER(W_CKDATA)*W_INTYPE)+SUMPRODUCT((M_CKDATE&gt;F$79)*(M_CKDATE&lt;=G$79)*(M_CAT=$B82)*ISNUMBER(M_CKDATA)*M_INTYPE)+SUMPRODUCT((B_CKDATE&gt;F$79)*(B_CKDATE&lt;=G$79)*(B_CAT=$B82)*ISNUMBER(B_CKDATA)*B_INTYPE)+SUMPRODUCT((C_CKDATE&gt;F$79)*(C_CKDATE&lt;=G$79)*(C_CAT=$B82)*ISNUMBER(C_CKDATA)*C_INTYPE)),""),"")</f>
        <v/>
      </c>
      <c r="H82" s="302" t="str">
        <f>IF(ISNUMBER(H$78),IFERROR((SUMPRODUCT((P_CKDATE&gt;G$79)*(P_CKDATE&lt;=H$79)*(P_CAT=$B82)*ISNUMBER(P_CKDATA)*P_INTYPE,P_CKDATA)+SUMPRODUCT((W_CKDATE&gt;G$79)*(W_CKDATE&lt;=H$79)*(W_CAT=$B82)*ISNUMBER(W_CKDATA)*W_INTYPE,W_CKDATA)+SUMPRODUCT((M_CKDATE&gt;G$79)*(M_CKDATE&lt;=H$79)*(M_CAT=$B82)*ISNUMBER(M_CKDATA)*M_INTYPE,M_CKDATA)+SUMPRODUCT((B_CKDATE&gt;G$79)*(B_CKDATE&lt;=H$79)*(B_CAT=$B82)*ISNUMBER(B_CKDATA)*B_INTYPE,B_CKDATA)+SUMPRODUCT((C_CKDATE&gt;G$79)*(C_CKDATE&lt;=H$79)*(C_CAT=$B82)*ISNUMBER(C_CKDATA)*C_INTYPE,C_CKDATA))/(SUMPRODUCT((P_CKDATE&gt;G$79)*(P_CKDATE&lt;=H$79)*(P_CAT=$B82)*ISNUMBER(P_CKDATA)*P_INTYPE)+SUMPRODUCT((W_CKDATE&gt;G$79)*(W_CKDATE&lt;=H$79)*(W_CAT=$B82)*ISNUMBER(W_CKDATA)*W_INTYPE)+SUMPRODUCT((M_CKDATE&gt;G$79)*(M_CKDATE&lt;=H$79)*(M_CAT=$B82)*ISNUMBER(M_CKDATA)*M_INTYPE)+SUMPRODUCT((B_CKDATE&gt;G$79)*(B_CKDATE&lt;=H$79)*(B_CAT=$B82)*ISNUMBER(B_CKDATA)*B_INTYPE)+SUMPRODUCT((C_CKDATE&gt;G$79)*(C_CKDATE&lt;=H$79)*(C_CAT=$B82)*ISNUMBER(C_CKDATA)*C_INTYPE)),""),"")</f>
        <v/>
      </c>
      <c r="I82" s="302" t="str">
        <f>IF(ISNUMBER(I$78),IFERROR((SUMPRODUCT((P_CKDATE&gt;H$79)*(P_CKDATE&lt;=I$79)*(P_CAT=$B82)*ISNUMBER(P_CKDATA)*P_INTYPE,P_CKDATA)+SUMPRODUCT((W_CKDATE&gt;H$79)*(W_CKDATE&lt;=I$79)*(W_CAT=$B82)*ISNUMBER(W_CKDATA)*W_INTYPE,W_CKDATA)+SUMPRODUCT((M_CKDATE&gt;H$79)*(M_CKDATE&lt;=I$79)*(M_CAT=$B82)*ISNUMBER(M_CKDATA)*M_INTYPE,M_CKDATA)+SUMPRODUCT((B_CKDATE&gt;H$79)*(B_CKDATE&lt;=I$79)*(B_CAT=$B82)*ISNUMBER(B_CKDATA)*B_INTYPE,B_CKDATA)+SUMPRODUCT((C_CKDATE&gt;H$79)*(C_CKDATE&lt;=I$79)*(C_CAT=$B82)*ISNUMBER(C_CKDATA)*C_INTYPE,C_CKDATA))/(SUMPRODUCT((P_CKDATE&gt;H$79)*(P_CKDATE&lt;=I$79)*(P_CAT=$B82)*ISNUMBER(P_CKDATA)*P_INTYPE)+SUMPRODUCT((W_CKDATE&gt;H$79)*(W_CKDATE&lt;=I$79)*(W_CAT=$B82)*ISNUMBER(W_CKDATA)*W_INTYPE)+SUMPRODUCT((M_CKDATE&gt;H$79)*(M_CKDATE&lt;=I$79)*(M_CAT=$B82)*ISNUMBER(M_CKDATA)*M_INTYPE)+SUMPRODUCT((B_CKDATE&gt;H$79)*(B_CKDATE&lt;=I$79)*(B_CAT=$B82)*ISNUMBER(B_CKDATA)*B_INTYPE)+SUMPRODUCT((C_CKDATE&gt;H$79)*(C_CKDATE&lt;=I$79)*(C_CAT=$B82)*ISNUMBER(C_CKDATA)*C_INTYPE)),""),"")</f>
        <v/>
      </c>
      <c r="J82" s="302" t="str">
        <f>IF(ISNUMBER(J$78),IFERROR((SUMPRODUCT((P_CKDATE&gt;I$79)*(P_CKDATE&lt;=J$79)*(P_CAT=$B82)*ISNUMBER(P_CKDATA)*P_INTYPE,P_CKDATA)+SUMPRODUCT((W_CKDATE&gt;I$79)*(W_CKDATE&lt;=J$79)*(W_CAT=$B82)*ISNUMBER(W_CKDATA)*W_INTYPE,W_CKDATA)+SUMPRODUCT((M_CKDATE&gt;I$79)*(M_CKDATE&lt;=J$79)*(M_CAT=$B82)*ISNUMBER(M_CKDATA)*M_INTYPE,M_CKDATA)+SUMPRODUCT((B_CKDATE&gt;I$79)*(B_CKDATE&lt;=J$79)*(B_CAT=$B82)*ISNUMBER(B_CKDATA)*B_INTYPE,B_CKDATA)+SUMPRODUCT((C_CKDATE&gt;I$79)*(C_CKDATE&lt;=J$79)*(C_CAT=$B82)*ISNUMBER(C_CKDATA)*C_INTYPE,C_CKDATA))/(SUMPRODUCT((P_CKDATE&gt;I$79)*(P_CKDATE&lt;=J$79)*(P_CAT=$B82)*ISNUMBER(P_CKDATA)*P_INTYPE)+SUMPRODUCT((W_CKDATE&gt;I$79)*(W_CKDATE&lt;=J$79)*(W_CAT=$B82)*ISNUMBER(W_CKDATA)*W_INTYPE)+SUMPRODUCT((M_CKDATE&gt;I$79)*(M_CKDATE&lt;=J$79)*(M_CAT=$B82)*ISNUMBER(M_CKDATA)*M_INTYPE)+SUMPRODUCT((B_CKDATE&gt;I$79)*(B_CKDATE&lt;=J$79)*(B_CAT=$B82)*ISNUMBER(B_CKDATA)*B_INTYPE)+SUMPRODUCT((C_CKDATE&gt;I$79)*(C_CKDATE&lt;=J$79)*(C_CAT=$B82)*ISNUMBER(C_CKDATA)*C_INTYPE)),""),"")</f>
        <v/>
      </c>
      <c r="K82" s="302" t="str">
        <f>IF(ISNUMBER(K$78),IFERROR((SUMPRODUCT((P_CKDATE&gt;J$79)*(P_CKDATE&lt;=K$79)*(P_CAT=$B82)*ISNUMBER(P_CKDATA)*P_INTYPE,P_CKDATA)+SUMPRODUCT((W_CKDATE&gt;J$79)*(W_CKDATE&lt;=K$79)*(W_CAT=$B82)*ISNUMBER(W_CKDATA)*W_INTYPE,W_CKDATA)+SUMPRODUCT((M_CKDATE&gt;J$79)*(M_CKDATE&lt;=K$79)*(M_CAT=$B82)*ISNUMBER(M_CKDATA)*M_INTYPE,M_CKDATA)+SUMPRODUCT((B_CKDATE&gt;J$79)*(B_CKDATE&lt;=K$79)*(B_CAT=$B82)*ISNUMBER(B_CKDATA)*B_INTYPE,B_CKDATA)+SUMPRODUCT((C_CKDATE&gt;J$79)*(C_CKDATE&lt;=K$79)*(C_CAT=$B82)*ISNUMBER(C_CKDATA)*C_INTYPE,C_CKDATA))/(SUMPRODUCT((P_CKDATE&gt;J$79)*(P_CKDATE&lt;=K$79)*(P_CAT=$B82)*ISNUMBER(P_CKDATA)*P_INTYPE)+SUMPRODUCT((W_CKDATE&gt;J$79)*(W_CKDATE&lt;=K$79)*(W_CAT=$B82)*ISNUMBER(W_CKDATA)*W_INTYPE)+SUMPRODUCT((M_CKDATE&gt;J$79)*(M_CKDATE&lt;=K$79)*(M_CAT=$B82)*ISNUMBER(M_CKDATA)*M_INTYPE)+SUMPRODUCT((B_CKDATE&gt;J$79)*(B_CKDATE&lt;=K$79)*(B_CAT=$B82)*ISNUMBER(B_CKDATA)*B_INTYPE)+SUMPRODUCT((C_CKDATE&gt;J$79)*(C_CKDATE&lt;=K$79)*(C_CAT=$B82)*ISNUMBER(C_CKDATA)*C_INTYPE)),""),"")</f>
        <v/>
      </c>
      <c r="L82" s="302" t="str">
        <f>IF(ISNUMBER(L$78),IFERROR((SUMPRODUCT((P_CKDATE&gt;K$79)*(P_CKDATE&lt;=L$79)*(P_CAT=$B82)*ISNUMBER(P_CKDATA)*P_INTYPE,P_CKDATA)+SUMPRODUCT((W_CKDATE&gt;K$79)*(W_CKDATE&lt;=L$79)*(W_CAT=$B82)*ISNUMBER(W_CKDATA)*W_INTYPE,W_CKDATA)+SUMPRODUCT((M_CKDATE&gt;K$79)*(M_CKDATE&lt;=L$79)*(M_CAT=$B82)*ISNUMBER(M_CKDATA)*M_INTYPE,M_CKDATA)+SUMPRODUCT((B_CKDATE&gt;K$79)*(B_CKDATE&lt;=L$79)*(B_CAT=$B82)*ISNUMBER(B_CKDATA)*B_INTYPE,B_CKDATA)+SUMPRODUCT((C_CKDATE&gt;K$79)*(C_CKDATE&lt;=L$79)*(C_CAT=$B82)*ISNUMBER(C_CKDATA)*C_INTYPE,C_CKDATA))/(SUMPRODUCT((P_CKDATE&gt;K$79)*(P_CKDATE&lt;=L$79)*(P_CAT=$B82)*ISNUMBER(P_CKDATA)*P_INTYPE)+SUMPRODUCT((W_CKDATE&gt;K$79)*(W_CKDATE&lt;=L$79)*(W_CAT=$B82)*ISNUMBER(W_CKDATA)*W_INTYPE)+SUMPRODUCT((M_CKDATE&gt;K$79)*(M_CKDATE&lt;=L$79)*(M_CAT=$B82)*ISNUMBER(M_CKDATA)*M_INTYPE)+SUMPRODUCT((B_CKDATE&gt;K$79)*(B_CKDATE&lt;=L$79)*(B_CAT=$B82)*ISNUMBER(B_CKDATA)*B_INTYPE)+SUMPRODUCT((C_CKDATE&gt;K$79)*(C_CKDATE&lt;=L$79)*(C_CAT=$B82)*ISNUMBER(C_CKDATA)*C_INTYPE)),""),"")</f>
        <v/>
      </c>
      <c r="M82" s="302" t="str">
        <f>IF(ISNUMBER(M$78),IFERROR((SUMPRODUCT((P_CKDATE&gt;L$79)*(P_CKDATE&lt;=M$79)*(P_CAT=$B82)*ISNUMBER(P_CKDATA)*P_INTYPE,P_CKDATA)+SUMPRODUCT((W_CKDATE&gt;L$79)*(W_CKDATE&lt;=M$79)*(W_CAT=$B82)*ISNUMBER(W_CKDATA)*W_INTYPE,W_CKDATA)+SUMPRODUCT((M_CKDATE&gt;L$79)*(M_CKDATE&lt;=M$79)*(M_CAT=$B82)*ISNUMBER(M_CKDATA)*M_INTYPE,M_CKDATA)+SUMPRODUCT((B_CKDATE&gt;L$79)*(B_CKDATE&lt;=M$79)*(B_CAT=$B82)*ISNUMBER(B_CKDATA)*B_INTYPE,B_CKDATA)+SUMPRODUCT((C_CKDATE&gt;L$79)*(C_CKDATE&lt;=M$79)*(C_CAT=$B82)*ISNUMBER(C_CKDATA)*C_INTYPE,C_CKDATA))/(SUMPRODUCT((P_CKDATE&gt;L$79)*(P_CKDATE&lt;=M$79)*(P_CAT=$B82)*ISNUMBER(P_CKDATA)*P_INTYPE)+SUMPRODUCT((W_CKDATE&gt;L$79)*(W_CKDATE&lt;=M$79)*(W_CAT=$B82)*ISNUMBER(W_CKDATA)*W_INTYPE)+SUMPRODUCT((M_CKDATE&gt;L$79)*(M_CKDATE&lt;=M$79)*(M_CAT=$B82)*ISNUMBER(M_CKDATA)*M_INTYPE)+SUMPRODUCT((B_CKDATE&gt;L$79)*(B_CKDATE&lt;=M$79)*(B_CAT=$B82)*ISNUMBER(B_CKDATA)*B_INTYPE)+SUMPRODUCT((C_CKDATE&gt;L$79)*(C_CKDATE&lt;=M$79)*(C_CAT=$B82)*ISNUMBER(C_CKDATA)*C_INTYPE)),""),"")</f>
        <v/>
      </c>
      <c r="N82" s="288"/>
      <c r="O82" s="288"/>
      <c r="P82" s="288"/>
      <c r="Q82" s="288"/>
      <c r="R82" s="288"/>
      <c r="S82" s="288"/>
      <c r="T82" s="288"/>
      <c r="U82" s="288"/>
      <c r="V82" s="288"/>
      <c r="W82" s="288"/>
      <c r="X82" s="288"/>
      <c r="Y82" s="288"/>
      <c r="Z82" s="288"/>
      <c r="AA82" s="288"/>
      <c r="AB82" s="288"/>
      <c r="AC82" s="288"/>
      <c r="AD82" s="288"/>
      <c r="AE82" s="288"/>
      <c r="AF82" s="288"/>
    </row>
    <row r="83" spans="1:32" ht="15" customHeight="1" x14ac:dyDescent="0.2">
      <c r="B83" s="465" t="s">
        <v>284</v>
      </c>
      <c r="C83" s="466"/>
      <c r="D83" s="302" t="str">
        <f>IFERROR((SUMPRODUCT(ISNUMBER(P_CKDATE)*(P_CAT=$B83)*ISNUMBER(P_CKDATA)*P_INTYPE,P_CKDATA)+SUMPRODUCT(ISNUMBER(W_CKDATE)*(W_CAT=$B83)*ISNUMBER(W_CKDATA)*W_INTYPE,W_CKDATA)+SUMPRODUCT(ISNUMBER(M_CKDATE)*(M_CAT=$B83)*ISNUMBER(M_CKDATA)*M_INTYPE,M_CKDATA)+SUMPRODUCT(ISNUMBER(B_CKDATE)*(B_CAT=$B83)*ISNUMBER(B_CKDATA)*B_INTYPE,B_CKDATA)+SUMPRODUCT(ISNUMBER(C_CKDATE)*(C_CAT=$B83)*ISNUMBER(C_CKDATA)*C_INTYPE,C_CKDATA))/(SUMPRODUCT(ISNUMBER(P_CKDATE)*(P_CAT=$B83)*ISNUMBER(P_CKDATA)*P_INTYPE)+SUMPRODUCT(ISNUMBER(W_CKDATE)*(W_CAT=$B83)*ISNUMBER(W_CKDATA)*W_INTYPE)+SUMPRODUCT(ISNUMBER(M_CKDATE)*(M_CAT=$B83)*ISNUMBER(M_CKDATA)*M_INTYPE)+SUMPRODUCT(ISNUMBER(B_CKDATE)*(B_CAT=$B83)*ISNUMBER(B_CKDATA)*B_INTYPE)+SUMPRODUCT(ISNUMBER(C_CKDATE)*(C_CAT=$B83)*ISNUMBER(C_CKDATA)*C_INTYPE)),"")</f>
        <v/>
      </c>
      <c r="E83" s="302" t="str">
        <f>IF(ISNUMBER(E$78),IFERROR((SUMPRODUCT((P_CKDATE&gt;D$79)*(P_CKDATE&lt;=E$79)*(P_CAT=$B83)*ISNUMBER(P_CKDATA)*P_INTYPE,P_CKDATA)+SUMPRODUCT((W_CKDATE&gt;D$79)*(W_CKDATE&lt;=E$79)*(W_CAT=$B83)*ISNUMBER(W_CKDATA)*W_INTYPE,W_CKDATA)+SUMPRODUCT((M_CKDATE&gt;D$79)*(M_CKDATE&lt;=E$79)*(M_CAT=$B83)*ISNUMBER(M_CKDATA)*M_INTYPE,M_CKDATA)+SUMPRODUCT((B_CKDATE&gt;D$79)*(B_CKDATE&lt;=E$79)*(B_CAT=$B83)*ISNUMBER(B_CKDATA)*B_INTYPE,B_CKDATA)+SUMPRODUCT((C_CKDATE&gt;D$79)*(C_CKDATE&lt;=E$79)*(C_CAT=$B83)*ISNUMBER(C_CKDATA)*C_INTYPE,C_CKDATA))/(SUMPRODUCT((P_CKDATE&gt;D$79)*(P_CKDATE&lt;=E$79)*(P_CAT=$B83)*ISNUMBER(P_CKDATA)*P_INTYPE)+SUMPRODUCT((W_CKDATE&gt;D$79)*(W_CKDATE&lt;=E$79)*(W_CAT=$B83)*ISNUMBER(W_CKDATA)*W_INTYPE)+SUMPRODUCT((M_CKDATE&gt;D$79)*(M_CKDATE&lt;=E$79)*(M_CAT=$B83)*ISNUMBER(M_CKDATA)*M_INTYPE)+SUMPRODUCT((B_CKDATE&gt;D$79)*(B_CKDATE&lt;=E$79)*(B_CAT=$B83)*ISNUMBER(B_CKDATA)*B_INTYPE)+SUMPRODUCT((C_CKDATE&gt;D$79)*(C_CKDATE&lt;=E$79)*(C_CAT=$B83)*ISNUMBER(C_CKDATA)*C_INTYPE)),""),"")</f>
        <v/>
      </c>
      <c r="F83" s="302" t="str">
        <f>IF(ISNUMBER(F$78),IFERROR((SUMPRODUCT((P_CKDATE&gt;E$79)*(P_CKDATE&lt;=F$79)*(P_CAT=$B83)*ISNUMBER(P_CKDATA)*P_INTYPE,P_CKDATA)+SUMPRODUCT((W_CKDATE&gt;E$79)*(W_CKDATE&lt;=F$79)*(W_CAT=$B83)*ISNUMBER(W_CKDATA)*W_INTYPE,W_CKDATA)+SUMPRODUCT((M_CKDATE&gt;E$79)*(M_CKDATE&lt;=F$79)*(M_CAT=$B83)*ISNUMBER(M_CKDATA)*M_INTYPE,M_CKDATA)+SUMPRODUCT((B_CKDATE&gt;E$79)*(B_CKDATE&lt;=F$79)*(B_CAT=$B83)*ISNUMBER(B_CKDATA)*B_INTYPE,B_CKDATA)+SUMPRODUCT((C_CKDATE&gt;E$79)*(C_CKDATE&lt;=F$79)*(C_CAT=$B83)*ISNUMBER(C_CKDATA)*C_INTYPE,C_CKDATA))/(SUMPRODUCT((P_CKDATE&gt;E$79)*(P_CKDATE&lt;=F$79)*(P_CAT=$B83)*ISNUMBER(P_CKDATA)*P_INTYPE)+SUMPRODUCT((W_CKDATE&gt;E$79)*(W_CKDATE&lt;=F$79)*(W_CAT=$B83)*ISNUMBER(W_CKDATA)*W_INTYPE)+SUMPRODUCT((M_CKDATE&gt;E$79)*(M_CKDATE&lt;=F$79)*(M_CAT=$B83)*ISNUMBER(M_CKDATA)*M_INTYPE)+SUMPRODUCT((B_CKDATE&gt;E$79)*(B_CKDATE&lt;=F$79)*(B_CAT=$B83)*ISNUMBER(B_CKDATA)*B_INTYPE)+SUMPRODUCT((C_CKDATE&gt;E$79)*(C_CKDATE&lt;=F$79)*(C_CAT=$B83)*ISNUMBER(C_CKDATA)*C_INTYPE)),""),"")</f>
        <v/>
      </c>
      <c r="G83" s="302" t="str">
        <f>IF(ISNUMBER(G$78),IFERROR((SUMPRODUCT((P_CKDATE&gt;F$79)*(P_CKDATE&lt;=G$79)*(P_CAT=$B83)*ISNUMBER(P_CKDATA)*P_INTYPE,P_CKDATA)+SUMPRODUCT((W_CKDATE&gt;F$79)*(W_CKDATE&lt;=G$79)*(W_CAT=$B83)*ISNUMBER(W_CKDATA)*W_INTYPE,W_CKDATA)+SUMPRODUCT((M_CKDATE&gt;F$79)*(M_CKDATE&lt;=G$79)*(M_CAT=$B83)*ISNUMBER(M_CKDATA)*M_INTYPE,M_CKDATA)+SUMPRODUCT((B_CKDATE&gt;F$79)*(B_CKDATE&lt;=G$79)*(B_CAT=$B83)*ISNUMBER(B_CKDATA)*B_INTYPE,B_CKDATA)+SUMPRODUCT((C_CKDATE&gt;F$79)*(C_CKDATE&lt;=G$79)*(C_CAT=$B83)*ISNUMBER(C_CKDATA)*C_INTYPE,C_CKDATA))/(SUMPRODUCT((P_CKDATE&gt;F$79)*(P_CKDATE&lt;=G$79)*(P_CAT=$B83)*ISNUMBER(P_CKDATA)*P_INTYPE)+SUMPRODUCT((W_CKDATE&gt;F$79)*(W_CKDATE&lt;=G$79)*(W_CAT=$B83)*ISNUMBER(W_CKDATA)*W_INTYPE)+SUMPRODUCT((M_CKDATE&gt;F$79)*(M_CKDATE&lt;=G$79)*(M_CAT=$B83)*ISNUMBER(M_CKDATA)*M_INTYPE)+SUMPRODUCT((B_CKDATE&gt;F$79)*(B_CKDATE&lt;=G$79)*(B_CAT=$B83)*ISNUMBER(B_CKDATA)*B_INTYPE)+SUMPRODUCT((C_CKDATE&gt;F$79)*(C_CKDATE&lt;=G$79)*(C_CAT=$B83)*ISNUMBER(C_CKDATA)*C_INTYPE)),""),"")</f>
        <v/>
      </c>
      <c r="H83" s="302" t="str">
        <f>IF(ISNUMBER(H$78),IFERROR((SUMPRODUCT((P_CKDATE&gt;G$79)*(P_CKDATE&lt;=H$79)*(P_CAT=$B83)*ISNUMBER(P_CKDATA)*P_INTYPE,P_CKDATA)+SUMPRODUCT((W_CKDATE&gt;G$79)*(W_CKDATE&lt;=H$79)*(W_CAT=$B83)*ISNUMBER(W_CKDATA)*W_INTYPE,W_CKDATA)+SUMPRODUCT((M_CKDATE&gt;G$79)*(M_CKDATE&lt;=H$79)*(M_CAT=$B83)*ISNUMBER(M_CKDATA)*M_INTYPE,M_CKDATA)+SUMPRODUCT((B_CKDATE&gt;G$79)*(B_CKDATE&lt;=H$79)*(B_CAT=$B83)*ISNUMBER(B_CKDATA)*B_INTYPE,B_CKDATA)+SUMPRODUCT((C_CKDATE&gt;G$79)*(C_CKDATE&lt;=H$79)*(C_CAT=$B83)*ISNUMBER(C_CKDATA)*C_INTYPE,C_CKDATA))/(SUMPRODUCT((P_CKDATE&gt;G$79)*(P_CKDATE&lt;=H$79)*(P_CAT=$B83)*ISNUMBER(P_CKDATA)*P_INTYPE)+SUMPRODUCT((W_CKDATE&gt;G$79)*(W_CKDATE&lt;=H$79)*(W_CAT=$B83)*ISNUMBER(W_CKDATA)*W_INTYPE)+SUMPRODUCT((M_CKDATE&gt;G$79)*(M_CKDATE&lt;=H$79)*(M_CAT=$B83)*ISNUMBER(M_CKDATA)*M_INTYPE)+SUMPRODUCT((B_CKDATE&gt;G$79)*(B_CKDATE&lt;=H$79)*(B_CAT=$B83)*ISNUMBER(B_CKDATA)*B_INTYPE)+SUMPRODUCT((C_CKDATE&gt;G$79)*(C_CKDATE&lt;=H$79)*(C_CAT=$B83)*ISNUMBER(C_CKDATA)*C_INTYPE)),""),"")</f>
        <v/>
      </c>
      <c r="I83" s="302" t="str">
        <f>IF(ISNUMBER(I$78),IFERROR((SUMPRODUCT((P_CKDATE&gt;H$79)*(P_CKDATE&lt;=I$79)*(P_CAT=$B83)*ISNUMBER(P_CKDATA)*P_INTYPE,P_CKDATA)+SUMPRODUCT((W_CKDATE&gt;H$79)*(W_CKDATE&lt;=I$79)*(W_CAT=$B83)*ISNUMBER(W_CKDATA)*W_INTYPE,W_CKDATA)+SUMPRODUCT((M_CKDATE&gt;H$79)*(M_CKDATE&lt;=I$79)*(M_CAT=$B83)*ISNUMBER(M_CKDATA)*M_INTYPE,M_CKDATA)+SUMPRODUCT((B_CKDATE&gt;H$79)*(B_CKDATE&lt;=I$79)*(B_CAT=$B83)*ISNUMBER(B_CKDATA)*B_INTYPE,B_CKDATA)+SUMPRODUCT((C_CKDATE&gt;H$79)*(C_CKDATE&lt;=I$79)*(C_CAT=$B83)*ISNUMBER(C_CKDATA)*C_INTYPE,C_CKDATA))/(SUMPRODUCT((P_CKDATE&gt;H$79)*(P_CKDATE&lt;=I$79)*(P_CAT=$B83)*ISNUMBER(P_CKDATA)*P_INTYPE)+SUMPRODUCT((W_CKDATE&gt;H$79)*(W_CKDATE&lt;=I$79)*(W_CAT=$B83)*ISNUMBER(W_CKDATA)*W_INTYPE)+SUMPRODUCT((M_CKDATE&gt;H$79)*(M_CKDATE&lt;=I$79)*(M_CAT=$B83)*ISNUMBER(M_CKDATA)*M_INTYPE)+SUMPRODUCT((B_CKDATE&gt;H$79)*(B_CKDATE&lt;=I$79)*(B_CAT=$B83)*ISNUMBER(B_CKDATA)*B_INTYPE)+SUMPRODUCT((C_CKDATE&gt;H$79)*(C_CKDATE&lt;=I$79)*(C_CAT=$B83)*ISNUMBER(C_CKDATA)*C_INTYPE)),""),"")</f>
        <v/>
      </c>
      <c r="J83" s="302" t="str">
        <f>IF(ISNUMBER(J$78),IFERROR((SUMPRODUCT((P_CKDATE&gt;I$79)*(P_CKDATE&lt;=J$79)*(P_CAT=$B83)*ISNUMBER(P_CKDATA)*P_INTYPE,P_CKDATA)+SUMPRODUCT((W_CKDATE&gt;I$79)*(W_CKDATE&lt;=J$79)*(W_CAT=$B83)*ISNUMBER(W_CKDATA)*W_INTYPE,W_CKDATA)+SUMPRODUCT((M_CKDATE&gt;I$79)*(M_CKDATE&lt;=J$79)*(M_CAT=$B83)*ISNUMBER(M_CKDATA)*M_INTYPE,M_CKDATA)+SUMPRODUCT((B_CKDATE&gt;I$79)*(B_CKDATE&lt;=J$79)*(B_CAT=$B83)*ISNUMBER(B_CKDATA)*B_INTYPE,B_CKDATA)+SUMPRODUCT((C_CKDATE&gt;I$79)*(C_CKDATE&lt;=J$79)*(C_CAT=$B83)*ISNUMBER(C_CKDATA)*C_INTYPE,C_CKDATA))/(SUMPRODUCT((P_CKDATE&gt;I$79)*(P_CKDATE&lt;=J$79)*(P_CAT=$B83)*ISNUMBER(P_CKDATA)*P_INTYPE)+SUMPRODUCT((W_CKDATE&gt;I$79)*(W_CKDATE&lt;=J$79)*(W_CAT=$B83)*ISNUMBER(W_CKDATA)*W_INTYPE)+SUMPRODUCT((M_CKDATE&gt;I$79)*(M_CKDATE&lt;=J$79)*(M_CAT=$B83)*ISNUMBER(M_CKDATA)*M_INTYPE)+SUMPRODUCT((B_CKDATE&gt;I$79)*(B_CKDATE&lt;=J$79)*(B_CAT=$B83)*ISNUMBER(B_CKDATA)*B_INTYPE)+SUMPRODUCT((C_CKDATE&gt;I$79)*(C_CKDATE&lt;=J$79)*(C_CAT=$B83)*ISNUMBER(C_CKDATA)*C_INTYPE)),""),"")</f>
        <v/>
      </c>
      <c r="K83" s="302" t="str">
        <f>IF(ISNUMBER(K$78),IFERROR((SUMPRODUCT((P_CKDATE&gt;J$79)*(P_CKDATE&lt;=K$79)*(P_CAT=$B83)*ISNUMBER(P_CKDATA)*P_INTYPE,P_CKDATA)+SUMPRODUCT((W_CKDATE&gt;J$79)*(W_CKDATE&lt;=K$79)*(W_CAT=$B83)*ISNUMBER(W_CKDATA)*W_INTYPE,W_CKDATA)+SUMPRODUCT((M_CKDATE&gt;J$79)*(M_CKDATE&lt;=K$79)*(M_CAT=$B83)*ISNUMBER(M_CKDATA)*M_INTYPE,M_CKDATA)+SUMPRODUCT((B_CKDATE&gt;J$79)*(B_CKDATE&lt;=K$79)*(B_CAT=$B83)*ISNUMBER(B_CKDATA)*B_INTYPE,B_CKDATA)+SUMPRODUCT((C_CKDATE&gt;J$79)*(C_CKDATE&lt;=K$79)*(C_CAT=$B83)*ISNUMBER(C_CKDATA)*C_INTYPE,C_CKDATA))/(SUMPRODUCT((P_CKDATE&gt;J$79)*(P_CKDATE&lt;=K$79)*(P_CAT=$B83)*ISNUMBER(P_CKDATA)*P_INTYPE)+SUMPRODUCT((W_CKDATE&gt;J$79)*(W_CKDATE&lt;=K$79)*(W_CAT=$B83)*ISNUMBER(W_CKDATA)*W_INTYPE)+SUMPRODUCT((M_CKDATE&gt;J$79)*(M_CKDATE&lt;=K$79)*(M_CAT=$B83)*ISNUMBER(M_CKDATA)*M_INTYPE)+SUMPRODUCT((B_CKDATE&gt;J$79)*(B_CKDATE&lt;=K$79)*(B_CAT=$B83)*ISNUMBER(B_CKDATA)*B_INTYPE)+SUMPRODUCT((C_CKDATE&gt;J$79)*(C_CKDATE&lt;=K$79)*(C_CAT=$B83)*ISNUMBER(C_CKDATA)*C_INTYPE)),""),"")</f>
        <v/>
      </c>
      <c r="L83" s="302" t="str">
        <f>IF(ISNUMBER(L$78),IFERROR((SUMPRODUCT((P_CKDATE&gt;K$79)*(P_CKDATE&lt;=L$79)*(P_CAT=$B83)*ISNUMBER(P_CKDATA)*P_INTYPE,P_CKDATA)+SUMPRODUCT((W_CKDATE&gt;K$79)*(W_CKDATE&lt;=L$79)*(W_CAT=$B83)*ISNUMBER(W_CKDATA)*W_INTYPE,W_CKDATA)+SUMPRODUCT((M_CKDATE&gt;K$79)*(M_CKDATE&lt;=L$79)*(M_CAT=$B83)*ISNUMBER(M_CKDATA)*M_INTYPE,M_CKDATA)+SUMPRODUCT((B_CKDATE&gt;K$79)*(B_CKDATE&lt;=L$79)*(B_CAT=$B83)*ISNUMBER(B_CKDATA)*B_INTYPE,B_CKDATA)+SUMPRODUCT((C_CKDATE&gt;K$79)*(C_CKDATE&lt;=L$79)*(C_CAT=$B83)*ISNUMBER(C_CKDATA)*C_INTYPE,C_CKDATA))/(SUMPRODUCT((P_CKDATE&gt;K$79)*(P_CKDATE&lt;=L$79)*(P_CAT=$B83)*ISNUMBER(P_CKDATA)*P_INTYPE)+SUMPRODUCT((W_CKDATE&gt;K$79)*(W_CKDATE&lt;=L$79)*(W_CAT=$B83)*ISNUMBER(W_CKDATA)*W_INTYPE)+SUMPRODUCT((M_CKDATE&gt;K$79)*(M_CKDATE&lt;=L$79)*(M_CAT=$B83)*ISNUMBER(M_CKDATA)*M_INTYPE)+SUMPRODUCT((B_CKDATE&gt;K$79)*(B_CKDATE&lt;=L$79)*(B_CAT=$B83)*ISNUMBER(B_CKDATA)*B_INTYPE)+SUMPRODUCT((C_CKDATE&gt;K$79)*(C_CKDATE&lt;=L$79)*(C_CAT=$B83)*ISNUMBER(C_CKDATA)*C_INTYPE)),""),"")</f>
        <v/>
      </c>
      <c r="M83" s="302" t="str">
        <f>IF(ISNUMBER(M$78),IFERROR((SUMPRODUCT((P_CKDATE&gt;L$79)*(P_CKDATE&lt;=M$79)*(P_CAT=$B83)*ISNUMBER(P_CKDATA)*P_INTYPE,P_CKDATA)+SUMPRODUCT((W_CKDATE&gt;L$79)*(W_CKDATE&lt;=M$79)*(W_CAT=$B83)*ISNUMBER(W_CKDATA)*W_INTYPE,W_CKDATA)+SUMPRODUCT((M_CKDATE&gt;L$79)*(M_CKDATE&lt;=M$79)*(M_CAT=$B83)*ISNUMBER(M_CKDATA)*M_INTYPE,M_CKDATA)+SUMPRODUCT((B_CKDATE&gt;L$79)*(B_CKDATE&lt;=M$79)*(B_CAT=$B83)*ISNUMBER(B_CKDATA)*B_INTYPE,B_CKDATA)+SUMPRODUCT((C_CKDATE&gt;L$79)*(C_CKDATE&lt;=M$79)*(C_CAT=$B83)*ISNUMBER(C_CKDATA)*C_INTYPE,C_CKDATA))/(SUMPRODUCT((P_CKDATE&gt;L$79)*(P_CKDATE&lt;=M$79)*(P_CAT=$B83)*ISNUMBER(P_CKDATA)*P_INTYPE)+SUMPRODUCT((W_CKDATE&gt;L$79)*(W_CKDATE&lt;=M$79)*(W_CAT=$B83)*ISNUMBER(W_CKDATA)*W_INTYPE)+SUMPRODUCT((M_CKDATE&gt;L$79)*(M_CKDATE&lt;=M$79)*(M_CAT=$B83)*ISNUMBER(M_CKDATA)*M_INTYPE)+SUMPRODUCT((B_CKDATE&gt;L$79)*(B_CKDATE&lt;=M$79)*(B_CAT=$B83)*ISNUMBER(B_CKDATA)*B_INTYPE)+SUMPRODUCT((C_CKDATE&gt;L$79)*(C_CKDATE&lt;=M$79)*(C_CAT=$B83)*ISNUMBER(C_CKDATA)*C_INTYPE)),""),"")</f>
        <v/>
      </c>
      <c r="N83" s="288"/>
      <c r="O83" s="288"/>
      <c r="P83" s="288"/>
      <c r="Q83" s="288"/>
      <c r="R83" s="288"/>
      <c r="S83" s="288"/>
      <c r="T83" s="288"/>
      <c r="U83" s="288"/>
      <c r="V83" s="288"/>
      <c r="W83" s="288"/>
      <c r="X83" s="288"/>
      <c r="Y83" s="288"/>
      <c r="Z83" s="288"/>
      <c r="AA83" s="288"/>
      <c r="AB83" s="288"/>
      <c r="AC83" s="288"/>
      <c r="AD83" s="288"/>
      <c r="AE83" s="288"/>
      <c r="AF83" s="288"/>
    </row>
    <row r="84" spans="1:32" ht="15" customHeight="1" x14ac:dyDescent="0.2">
      <c r="B84" s="465" t="s">
        <v>286</v>
      </c>
      <c r="C84" s="466"/>
      <c r="D84" s="302" t="str">
        <f>IFERROR((SUMPRODUCT(ISNUMBER(P_CKDATE)*(P_CAT=$B84)*ISNUMBER(P_CKDATA)*P_INTYPE,P_CKDATA)+SUMPRODUCT(ISNUMBER(W_CKDATE)*(W_CAT=$B84)*ISNUMBER(W_CKDATA)*W_INTYPE,W_CKDATA)+SUMPRODUCT(ISNUMBER(M_CKDATE)*(M_CAT=$B84)*ISNUMBER(M_CKDATA)*M_INTYPE,M_CKDATA)+SUMPRODUCT(ISNUMBER(B_CKDATE)*(B_CAT=$B84)*ISNUMBER(B_CKDATA)*B_INTYPE,B_CKDATA)+SUMPRODUCT(ISNUMBER(C_CKDATE)*(C_CAT=$B84)*ISNUMBER(C_CKDATA)*C_INTYPE,C_CKDATA))/(SUMPRODUCT(ISNUMBER(P_CKDATE)*(P_CAT=$B84)*ISNUMBER(P_CKDATA)*P_INTYPE)+SUMPRODUCT(ISNUMBER(W_CKDATE)*(W_CAT=$B84)*ISNUMBER(W_CKDATA)*W_INTYPE)+SUMPRODUCT(ISNUMBER(M_CKDATE)*(M_CAT=$B84)*ISNUMBER(M_CKDATA)*M_INTYPE)+SUMPRODUCT(ISNUMBER(B_CKDATE)*(B_CAT=$B84)*ISNUMBER(B_CKDATA)*B_INTYPE)+SUMPRODUCT(ISNUMBER(C_CKDATE)*(C_CAT=$B84)*ISNUMBER(C_CKDATA)*C_INTYPE)),"")</f>
        <v/>
      </c>
      <c r="E84" s="302" t="str">
        <f>IF(ISNUMBER(E$78),IFERROR((SUMPRODUCT((P_CKDATE&gt;D$79)*(P_CKDATE&lt;=E$79)*(P_CAT=$B84)*ISNUMBER(P_CKDATA)*P_INTYPE,P_CKDATA)+SUMPRODUCT((W_CKDATE&gt;D$79)*(W_CKDATE&lt;=E$79)*(W_CAT=$B84)*ISNUMBER(W_CKDATA)*W_INTYPE,W_CKDATA)+SUMPRODUCT((M_CKDATE&gt;D$79)*(M_CKDATE&lt;=E$79)*(M_CAT=$B84)*ISNUMBER(M_CKDATA)*M_INTYPE,M_CKDATA)+SUMPRODUCT((B_CKDATE&gt;D$79)*(B_CKDATE&lt;=E$79)*(B_CAT=$B84)*ISNUMBER(B_CKDATA)*B_INTYPE,B_CKDATA)+SUMPRODUCT((C_CKDATE&gt;D$79)*(C_CKDATE&lt;=E$79)*(C_CAT=$B84)*ISNUMBER(C_CKDATA)*C_INTYPE,C_CKDATA))/(SUMPRODUCT((P_CKDATE&gt;D$79)*(P_CKDATE&lt;=E$79)*(P_CAT=$B84)*ISNUMBER(P_CKDATA)*P_INTYPE)+SUMPRODUCT((W_CKDATE&gt;D$79)*(W_CKDATE&lt;=E$79)*(W_CAT=$B84)*ISNUMBER(W_CKDATA)*W_INTYPE)+SUMPRODUCT((M_CKDATE&gt;D$79)*(M_CKDATE&lt;=E$79)*(M_CAT=$B84)*ISNUMBER(M_CKDATA)*M_INTYPE)+SUMPRODUCT((B_CKDATE&gt;D$79)*(B_CKDATE&lt;=E$79)*(B_CAT=$B84)*ISNUMBER(B_CKDATA)*B_INTYPE)+SUMPRODUCT((C_CKDATE&gt;D$79)*(C_CKDATE&lt;=E$79)*(C_CAT=$B84)*ISNUMBER(C_CKDATA)*C_INTYPE)),""),"")</f>
        <v/>
      </c>
      <c r="F84" s="302" t="str">
        <f>IF(ISNUMBER(F$78),IFERROR((SUMPRODUCT((P_CKDATE&gt;E$79)*(P_CKDATE&lt;=F$79)*(P_CAT=$B84)*ISNUMBER(P_CKDATA)*P_INTYPE,P_CKDATA)+SUMPRODUCT((W_CKDATE&gt;E$79)*(W_CKDATE&lt;=F$79)*(W_CAT=$B84)*ISNUMBER(W_CKDATA)*W_INTYPE,W_CKDATA)+SUMPRODUCT((M_CKDATE&gt;E$79)*(M_CKDATE&lt;=F$79)*(M_CAT=$B84)*ISNUMBER(M_CKDATA)*M_INTYPE,M_CKDATA)+SUMPRODUCT((B_CKDATE&gt;E$79)*(B_CKDATE&lt;=F$79)*(B_CAT=$B84)*ISNUMBER(B_CKDATA)*B_INTYPE,B_CKDATA)+SUMPRODUCT((C_CKDATE&gt;E$79)*(C_CKDATE&lt;=F$79)*(C_CAT=$B84)*ISNUMBER(C_CKDATA)*C_INTYPE,C_CKDATA))/(SUMPRODUCT((P_CKDATE&gt;E$79)*(P_CKDATE&lt;=F$79)*(P_CAT=$B84)*ISNUMBER(P_CKDATA)*P_INTYPE)+SUMPRODUCT((W_CKDATE&gt;E$79)*(W_CKDATE&lt;=F$79)*(W_CAT=$B84)*ISNUMBER(W_CKDATA)*W_INTYPE)+SUMPRODUCT((M_CKDATE&gt;E$79)*(M_CKDATE&lt;=F$79)*(M_CAT=$B84)*ISNUMBER(M_CKDATA)*M_INTYPE)+SUMPRODUCT((B_CKDATE&gt;E$79)*(B_CKDATE&lt;=F$79)*(B_CAT=$B84)*ISNUMBER(B_CKDATA)*B_INTYPE)+SUMPRODUCT((C_CKDATE&gt;E$79)*(C_CKDATE&lt;=F$79)*(C_CAT=$B84)*ISNUMBER(C_CKDATA)*C_INTYPE)),""),"")</f>
        <v/>
      </c>
      <c r="G84" s="302" t="str">
        <f>IF(ISNUMBER(G$78),IFERROR((SUMPRODUCT((P_CKDATE&gt;F$79)*(P_CKDATE&lt;=G$79)*(P_CAT=$B84)*ISNUMBER(P_CKDATA)*P_INTYPE,P_CKDATA)+SUMPRODUCT((W_CKDATE&gt;F$79)*(W_CKDATE&lt;=G$79)*(W_CAT=$B84)*ISNUMBER(W_CKDATA)*W_INTYPE,W_CKDATA)+SUMPRODUCT((M_CKDATE&gt;F$79)*(M_CKDATE&lt;=G$79)*(M_CAT=$B84)*ISNUMBER(M_CKDATA)*M_INTYPE,M_CKDATA)+SUMPRODUCT((B_CKDATE&gt;F$79)*(B_CKDATE&lt;=G$79)*(B_CAT=$B84)*ISNUMBER(B_CKDATA)*B_INTYPE,B_CKDATA)+SUMPRODUCT((C_CKDATE&gt;F$79)*(C_CKDATE&lt;=G$79)*(C_CAT=$B84)*ISNUMBER(C_CKDATA)*C_INTYPE,C_CKDATA))/(SUMPRODUCT((P_CKDATE&gt;F$79)*(P_CKDATE&lt;=G$79)*(P_CAT=$B84)*ISNUMBER(P_CKDATA)*P_INTYPE)+SUMPRODUCT((W_CKDATE&gt;F$79)*(W_CKDATE&lt;=G$79)*(W_CAT=$B84)*ISNUMBER(W_CKDATA)*W_INTYPE)+SUMPRODUCT((M_CKDATE&gt;F$79)*(M_CKDATE&lt;=G$79)*(M_CAT=$B84)*ISNUMBER(M_CKDATA)*M_INTYPE)+SUMPRODUCT((B_CKDATE&gt;F$79)*(B_CKDATE&lt;=G$79)*(B_CAT=$B84)*ISNUMBER(B_CKDATA)*B_INTYPE)+SUMPRODUCT((C_CKDATE&gt;F$79)*(C_CKDATE&lt;=G$79)*(C_CAT=$B84)*ISNUMBER(C_CKDATA)*C_INTYPE)),""),"")</f>
        <v/>
      </c>
      <c r="H84" s="302" t="str">
        <f>IF(ISNUMBER(H$78),IFERROR((SUMPRODUCT((P_CKDATE&gt;G$79)*(P_CKDATE&lt;=H$79)*(P_CAT=$B84)*ISNUMBER(P_CKDATA)*P_INTYPE,P_CKDATA)+SUMPRODUCT((W_CKDATE&gt;G$79)*(W_CKDATE&lt;=H$79)*(W_CAT=$B84)*ISNUMBER(W_CKDATA)*W_INTYPE,W_CKDATA)+SUMPRODUCT((M_CKDATE&gt;G$79)*(M_CKDATE&lt;=H$79)*(M_CAT=$B84)*ISNUMBER(M_CKDATA)*M_INTYPE,M_CKDATA)+SUMPRODUCT((B_CKDATE&gt;G$79)*(B_CKDATE&lt;=H$79)*(B_CAT=$B84)*ISNUMBER(B_CKDATA)*B_INTYPE,B_CKDATA)+SUMPRODUCT((C_CKDATE&gt;G$79)*(C_CKDATE&lt;=H$79)*(C_CAT=$B84)*ISNUMBER(C_CKDATA)*C_INTYPE,C_CKDATA))/(SUMPRODUCT((P_CKDATE&gt;G$79)*(P_CKDATE&lt;=H$79)*(P_CAT=$B84)*ISNUMBER(P_CKDATA)*P_INTYPE)+SUMPRODUCT((W_CKDATE&gt;G$79)*(W_CKDATE&lt;=H$79)*(W_CAT=$B84)*ISNUMBER(W_CKDATA)*W_INTYPE)+SUMPRODUCT((M_CKDATE&gt;G$79)*(M_CKDATE&lt;=H$79)*(M_CAT=$B84)*ISNUMBER(M_CKDATA)*M_INTYPE)+SUMPRODUCT((B_CKDATE&gt;G$79)*(B_CKDATE&lt;=H$79)*(B_CAT=$B84)*ISNUMBER(B_CKDATA)*B_INTYPE)+SUMPRODUCT((C_CKDATE&gt;G$79)*(C_CKDATE&lt;=H$79)*(C_CAT=$B84)*ISNUMBER(C_CKDATA)*C_INTYPE)),""),"")</f>
        <v/>
      </c>
      <c r="I84" s="302" t="str">
        <f>IF(ISNUMBER(I$78),IFERROR((SUMPRODUCT((P_CKDATE&gt;H$79)*(P_CKDATE&lt;=I$79)*(P_CAT=$B84)*ISNUMBER(P_CKDATA)*P_INTYPE,P_CKDATA)+SUMPRODUCT((W_CKDATE&gt;H$79)*(W_CKDATE&lt;=I$79)*(W_CAT=$B84)*ISNUMBER(W_CKDATA)*W_INTYPE,W_CKDATA)+SUMPRODUCT((M_CKDATE&gt;H$79)*(M_CKDATE&lt;=I$79)*(M_CAT=$B84)*ISNUMBER(M_CKDATA)*M_INTYPE,M_CKDATA)+SUMPRODUCT((B_CKDATE&gt;H$79)*(B_CKDATE&lt;=I$79)*(B_CAT=$B84)*ISNUMBER(B_CKDATA)*B_INTYPE,B_CKDATA)+SUMPRODUCT((C_CKDATE&gt;H$79)*(C_CKDATE&lt;=I$79)*(C_CAT=$B84)*ISNUMBER(C_CKDATA)*C_INTYPE,C_CKDATA))/(SUMPRODUCT((P_CKDATE&gt;H$79)*(P_CKDATE&lt;=I$79)*(P_CAT=$B84)*ISNUMBER(P_CKDATA)*P_INTYPE)+SUMPRODUCT((W_CKDATE&gt;H$79)*(W_CKDATE&lt;=I$79)*(W_CAT=$B84)*ISNUMBER(W_CKDATA)*W_INTYPE)+SUMPRODUCT((M_CKDATE&gt;H$79)*(M_CKDATE&lt;=I$79)*(M_CAT=$B84)*ISNUMBER(M_CKDATA)*M_INTYPE)+SUMPRODUCT((B_CKDATE&gt;H$79)*(B_CKDATE&lt;=I$79)*(B_CAT=$B84)*ISNUMBER(B_CKDATA)*B_INTYPE)+SUMPRODUCT((C_CKDATE&gt;H$79)*(C_CKDATE&lt;=I$79)*(C_CAT=$B84)*ISNUMBER(C_CKDATA)*C_INTYPE)),""),"")</f>
        <v/>
      </c>
      <c r="J84" s="302" t="str">
        <f>IF(ISNUMBER(J$78),IFERROR((SUMPRODUCT((P_CKDATE&gt;I$79)*(P_CKDATE&lt;=J$79)*(P_CAT=$B84)*ISNUMBER(P_CKDATA)*P_INTYPE,P_CKDATA)+SUMPRODUCT((W_CKDATE&gt;I$79)*(W_CKDATE&lt;=J$79)*(W_CAT=$B84)*ISNUMBER(W_CKDATA)*W_INTYPE,W_CKDATA)+SUMPRODUCT((M_CKDATE&gt;I$79)*(M_CKDATE&lt;=J$79)*(M_CAT=$B84)*ISNUMBER(M_CKDATA)*M_INTYPE,M_CKDATA)+SUMPRODUCT((B_CKDATE&gt;I$79)*(B_CKDATE&lt;=J$79)*(B_CAT=$B84)*ISNUMBER(B_CKDATA)*B_INTYPE,B_CKDATA)+SUMPRODUCT((C_CKDATE&gt;I$79)*(C_CKDATE&lt;=J$79)*(C_CAT=$B84)*ISNUMBER(C_CKDATA)*C_INTYPE,C_CKDATA))/(SUMPRODUCT((P_CKDATE&gt;I$79)*(P_CKDATE&lt;=J$79)*(P_CAT=$B84)*ISNUMBER(P_CKDATA)*P_INTYPE)+SUMPRODUCT((W_CKDATE&gt;I$79)*(W_CKDATE&lt;=J$79)*(W_CAT=$B84)*ISNUMBER(W_CKDATA)*W_INTYPE)+SUMPRODUCT((M_CKDATE&gt;I$79)*(M_CKDATE&lt;=J$79)*(M_CAT=$B84)*ISNUMBER(M_CKDATA)*M_INTYPE)+SUMPRODUCT((B_CKDATE&gt;I$79)*(B_CKDATE&lt;=J$79)*(B_CAT=$B84)*ISNUMBER(B_CKDATA)*B_INTYPE)+SUMPRODUCT((C_CKDATE&gt;I$79)*(C_CKDATE&lt;=J$79)*(C_CAT=$B84)*ISNUMBER(C_CKDATA)*C_INTYPE)),""),"")</f>
        <v/>
      </c>
      <c r="K84" s="302" t="str">
        <f>IF(ISNUMBER(K$78),IFERROR((SUMPRODUCT((P_CKDATE&gt;J$79)*(P_CKDATE&lt;=K$79)*(P_CAT=$B84)*ISNUMBER(P_CKDATA)*P_INTYPE,P_CKDATA)+SUMPRODUCT((W_CKDATE&gt;J$79)*(W_CKDATE&lt;=K$79)*(W_CAT=$B84)*ISNUMBER(W_CKDATA)*W_INTYPE,W_CKDATA)+SUMPRODUCT((M_CKDATE&gt;J$79)*(M_CKDATE&lt;=K$79)*(M_CAT=$B84)*ISNUMBER(M_CKDATA)*M_INTYPE,M_CKDATA)+SUMPRODUCT((B_CKDATE&gt;J$79)*(B_CKDATE&lt;=K$79)*(B_CAT=$B84)*ISNUMBER(B_CKDATA)*B_INTYPE,B_CKDATA)+SUMPRODUCT((C_CKDATE&gt;J$79)*(C_CKDATE&lt;=K$79)*(C_CAT=$B84)*ISNUMBER(C_CKDATA)*C_INTYPE,C_CKDATA))/(SUMPRODUCT((P_CKDATE&gt;J$79)*(P_CKDATE&lt;=K$79)*(P_CAT=$B84)*ISNUMBER(P_CKDATA)*P_INTYPE)+SUMPRODUCT((W_CKDATE&gt;J$79)*(W_CKDATE&lt;=K$79)*(W_CAT=$B84)*ISNUMBER(W_CKDATA)*W_INTYPE)+SUMPRODUCT((M_CKDATE&gt;J$79)*(M_CKDATE&lt;=K$79)*(M_CAT=$B84)*ISNUMBER(M_CKDATA)*M_INTYPE)+SUMPRODUCT((B_CKDATE&gt;J$79)*(B_CKDATE&lt;=K$79)*(B_CAT=$B84)*ISNUMBER(B_CKDATA)*B_INTYPE)+SUMPRODUCT((C_CKDATE&gt;J$79)*(C_CKDATE&lt;=K$79)*(C_CAT=$B84)*ISNUMBER(C_CKDATA)*C_INTYPE)),""),"")</f>
        <v/>
      </c>
      <c r="L84" s="302" t="str">
        <f>IF(ISNUMBER(L$78),IFERROR((SUMPRODUCT((P_CKDATE&gt;K$79)*(P_CKDATE&lt;=L$79)*(P_CAT=$B84)*ISNUMBER(P_CKDATA)*P_INTYPE,P_CKDATA)+SUMPRODUCT((W_CKDATE&gt;K$79)*(W_CKDATE&lt;=L$79)*(W_CAT=$B84)*ISNUMBER(W_CKDATA)*W_INTYPE,W_CKDATA)+SUMPRODUCT((M_CKDATE&gt;K$79)*(M_CKDATE&lt;=L$79)*(M_CAT=$B84)*ISNUMBER(M_CKDATA)*M_INTYPE,M_CKDATA)+SUMPRODUCT((B_CKDATE&gt;K$79)*(B_CKDATE&lt;=L$79)*(B_CAT=$B84)*ISNUMBER(B_CKDATA)*B_INTYPE,B_CKDATA)+SUMPRODUCT((C_CKDATE&gt;K$79)*(C_CKDATE&lt;=L$79)*(C_CAT=$B84)*ISNUMBER(C_CKDATA)*C_INTYPE,C_CKDATA))/(SUMPRODUCT((P_CKDATE&gt;K$79)*(P_CKDATE&lt;=L$79)*(P_CAT=$B84)*ISNUMBER(P_CKDATA)*P_INTYPE)+SUMPRODUCT((W_CKDATE&gt;K$79)*(W_CKDATE&lt;=L$79)*(W_CAT=$B84)*ISNUMBER(W_CKDATA)*W_INTYPE)+SUMPRODUCT((M_CKDATE&gt;K$79)*(M_CKDATE&lt;=L$79)*(M_CAT=$B84)*ISNUMBER(M_CKDATA)*M_INTYPE)+SUMPRODUCT((B_CKDATE&gt;K$79)*(B_CKDATE&lt;=L$79)*(B_CAT=$B84)*ISNUMBER(B_CKDATA)*B_INTYPE)+SUMPRODUCT((C_CKDATE&gt;K$79)*(C_CKDATE&lt;=L$79)*(C_CAT=$B84)*ISNUMBER(C_CKDATA)*C_INTYPE)),""),"")</f>
        <v/>
      </c>
      <c r="M84" s="302" t="str">
        <f>IF(ISNUMBER(M$78),IFERROR((SUMPRODUCT((P_CKDATE&gt;L$79)*(P_CKDATE&lt;=M$79)*(P_CAT=$B84)*ISNUMBER(P_CKDATA)*P_INTYPE,P_CKDATA)+SUMPRODUCT((W_CKDATE&gt;L$79)*(W_CKDATE&lt;=M$79)*(W_CAT=$B84)*ISNUMBER(W_CKDATA)*W_INTYPE,W_CKDATA)+SUMPRODUCT((M_CKDATE&gt;L$79)*(M_CKDATE&lt;=M$79)*(M_CAT=$B84)*ISNUMBER(M_CKDATA)*M_INTYPE,M_CKDATA)+SUMPRODUCT((B_CKDATE&gt;L$79)*(B_CKDATE&lt;=M$79)*(B_CAT=$B84)*ISNUMBER(B_CKDATA)*B_INTYPE,B_CKDATA)+SUMPRODUCT((C_CKDATE&gt;L$79)*(C_CKDATE&lt;=M$79)*(C_CAT=$B84)*ISNUMBER(C_CKDATA)*C_INTYPE,C_CKDATA))/(SUMPRODUCT((P_CKDATE&gt;L$79)*(P_CKDATE&lt;=M$79)*(P_CAT=$B84)*ISNUMBER(P_CKDATA)*P_INTYPE)+SUMPRODUCT((W_CKDATE&gt;L$79)*(W_CKDATE&lt;=M$79)*(W_CAT=$B84)*ISNUMBER(W_CKDATA)*W_INTYPE)+SUMPRODUCT((M_CKDATE&gt;L$79)*(M_CKDATE&lt;=M$79)*(M_CAT=$B84)*ISNUMBER(M_CKDATA)*M_INTYPE)+SUMPRODUCT((B_CKDATE&gt;L$79)*(B_CKDATE&lt;=M$79)*(B_CAT=$B84)*ISNUMBER(B_CKDATA)*B_INTYPE)+SUMPRODUCT((C_CKDATE&gt;L$79)*(C_CKDATE&lt;=M$79)*(C_CAT=$B84)*ISNUMBER(C_CKDATA)*C_INTYPE)),""),"")</f>
        <v/>
      </c>
      <c r="N84" s="288"/>
      <c r="O84" s="288"/>
      <c r="P84" s="288"/>
      <c r="Q84" s="288"/>
      <c r="R84" s="288"/>
      <c r="S84" s="288"/>
      <c r="T84" s="288"/>
      <c r="U84" s="288"/>
      <c r="V84" s="288"/>
      <c r="W84" s="288"/>
      <c r="X84" s="288"/>
      <c r="Y84" s="288"/>
      <c r="Z84" s="288"/>
      <c r="AA84" s="288"/>
      <c r="AB84" s="288"/>
      <c r="AC84" s="288"/>
      <c r="AD84" s="288"/>
      <c r="AE84" s="288"/>
      <c r="AF84" s="288"/>
    </row>
    <row r="85" spans="1:32" ht="15" customHeight="1" x14ac:dyDescent="0.2">
      <c r="B85" s="465" t="s">
        <v>648</v>
      </c>
      <c r="C85" s="466"/>
      <c r="D85" s="302" t="str">
        <f>IFERROR((SUMPRODUCT(ISNUMBER(P_CKDATE)*(P_CAT=$B85)*ISNUMBER(P_CKDATA)*P_INTYPE,P_CKDATA)+SUMPRODUCT(ISNUMBER(W_CKDATE)*(W_CAT=$B85)*ISNUMBER(W_CKDATA)*W_INTYPE,W_CKDATA)+SUMPRODUCT(ISNUMBER(M_CKDATE)*(M_CAT=$B85)*ISNUMBER(M_CKDATA)*M_INTYPE,M_CKDATA)+SUMPRODUCT(ISNUMBER(B_CKDATE)*(B_CAT=$B85)*ISNUMBER(B_CKDATA)*B_INTYPE,B_CKDATA)+SUMPRODUCT(ISNUMBER(C_CKDATE)*(C_CAT=$B85)*ISNUMBER(C_CKDATA)*C_INTYPE,C_CKDATA))/(SUMPRODUCT(ISNUMBER(P_CKDATE)*(P_CAT=$B85)*ISNUMBER(P_CKDATA)*P_INTYPE)+SUMPRODUCT(ISNUMBER(W_CKDATE)*(W_CAT=$B85)*ISNUMBER(W_CKDATA)*W_INTYPE)+SUMPRODUCT(ISNUMBER(M_CKDATE)*(M_CAT=$B85)*ISNUMBER(M_CKDATA)*M_INTYPE)+SUMPRODUCT(ISNUMBER(B_CKDATE)*(B_CAT=$B85)*ISNUMBER(B_CKDATA)*B_INTYPE)+SUMPRODUCT(ISNUMBER(C_CKDATE)*(C_CAT=$B85)*ISNUMBER(C_CKDATA)*C_INTYPE)),"")</f>
        <v/>
      </c>
      <c r="E85" s="302" t="str">
        <f>IF(ISNUMBER(E$78),IFERROR((SUMPRODUCT((P_CKDATE&gt;D$79)*(P_CKDATE&lt;=E$79)*(P_CAT=$B85)*ISNUMBER(P_CKDATA)*P_INTYPE,P_CKDATA)+SUMPRODUCT((W_CKDATE&gt;D$79)*(W_CKDATE&lt;=E$79)*(W_CAT=$B85)*ISNUMBER(W_CKDATA)*W_INTYPE,W_CKDATA)+SUMPRODUCT((M_CKDATE&gt;D$79)*(M_CKDATE&lt;=E$79)*(M_CAT=$B85)*ISNUMBER(M_CKDATA)*M_INTYPE,M_CKDATA)+SUMPRODUCT((B_CKDATE&gt;D$79)*(B_CKDATE&lt;=E$79)*(B_CAT=$B85)*ISNUMBER(B_CKDATA)*B_INTYPE,B_CKDATA)+SUMPRODUCT((C_CKDATE&gt;D$79)*(C_CKDATE&lt;=E$79)*(C_CAT=$B85)*ISNUMBER(C_CKDATA)*C_INTYPE,C_CKDATA))/(SUMPRODUCT((P_CKDATE&gt;D$79)*(P_CKDATE&lt;=E$79)*(P_CAT=$B85)*ISNUMBER(P_CKDATA)*P_INTYPE)+SUMPRODUCT((W_CKDATE&gt;D$79)*(W_CKDATE&lt;=E$79)*(W_CAT=$B85)*ISNUMBER(W_CKDATA)*W_INTYPE)+SUMPRODUCT((M_CKDATE&gt;D$79)*(M_CKDATE&lt;=E$79)*(M_CAT=$B85)*ISNUMBER(M_CKDATA)*M_INTYPE)+SUMPRODUCT((B_CKDATE&gt;D$79)*(B_CKDATE&lt;=E$79)*(B_CAT=$B85)*ISNUMBER(B_CKDATA)*B_INTYPE)+SUMPRODUCT((C_CKDATE&gt;D$79)*(C_CKDATE&lt;=E$79)*(C_CAT=$B85)*ISNUMBER(C_CKDATA)*C_INTYPE)),""),"")</f>
        <v/>
      </c>
      <c r="F85" s="302" t="str">
        <f>IF(ISNUMBER(F$78),IFERROR((SUMPRODUCT((P_CKDATE&gt;E$79)*(P_CKDATE&lt;=F$79)*(P_CAT=$B85)*ISNUMBER(P_CKDATA)*P_INTYPE,P_CKDATA)+SUMPRODUCT((W_CKDATE&gt;E$79)*(W_CKDATE&lt;=F$79)*(W_CAT=$B85)*ISNUMBER(W_CKDATA)*W_INTYPE,W_CKDATA)+SUMPRODUCT((M_CKDATE&gt;E$79)*(M_CKDATE&lt;=F$79)*(M_CAT=$B85)*ISNUMBER(M_CKDATA)*M_INTYPE,M_CKDATA)+SUMPRODUCT((B_CKDATE&gt;E$79)*(B_CKDATE&lt;=F$79)*(B_CAT=$B85)*ISNUMBER(B_CKDATA)*B_INTYPE,B_CKDATA)+SUMPRODUCT((C_CKDATE&gt;E$79)*(C_CKDATE&lt;=F$79)*(C_CAT=$B85)*ISNUMBER(C_CKDATA)*C_INTYPE,C_CKDATA))/(SUMPRODUCT((P_CKDATE&gt;E$79)*(P_CKDATE&lt;=F$79)*(P_CAT=$B85)*ISNUMBER(P_CKDATA)*P_INTYPE)+SUMPRODUCT((W_CKDATE&gt;E$79)*(W_CKDATE&lt;=F$79)*(W_CAT=$B85)*ISNUMBER(W_CKDATA)*W_INTYPE)+SUMPRODUCT((M_CKDATE&gt;E$79)*(M_CKDATE&lt;=F$79)*(M_CAT=$B85)*ISNUMBER(M_CKDATA)*M_INTYPE)+SUMPRODUCT((B_CKDATE&gt;E$79)*(B_CKDATE&lt;=F$79)*(B_CAT=$B85)*ISNUMBER(B_CKDATA)*B_INTYPE)+SUMPRODUCT((C_CKDATE&gt;E$79)*(C_CKDATE&lt;=F$79)*(C_CAT=$B85)*ISNUMBER(C_CKDATA)*C_INTYPE)),""),"")</f>
        <v/>
      </c>
      <c r="G85" s="302" t="str">
        <f>IF(ISNUMBER(G$78),IFERROR((SUMPRODUCT((P_CKDATE&gt;F$79)*(P_CKDATE&lt;=G$79)*(P_CAT=$B85)*ISNUMBER(P_CKDATA)*P_INTYPE,P_CKDATA)+SUMPRODUCT((W_CKDATE&gt;F$79)*(W_CKDATE&lt;=G$79)*(W_CAT=$B85)*ISNUMBER(W_CKDATA)*W_INTYPE,W_CKDATA)+SUMPRODUCT((M_CKDATE&gt;F$79)*(M_CKDATE&lt;=G$79)*(M_CAT=$B85)*ISNUMBER(M_CKDATA)*M_INTYPE,M_CKDATA)+SUMPRODUCT((B_CKDATE&gt;F$79)*(B_CKDATE&lt;=G$79)*(B_CAT=$B85)*ISNUMBER(B_CKDATA)*B_INTYPE,B_CKDATA)+SUMPRODUCT((C_CKDATE&gt;F$79)*(C_CKDATE&lt;=G$79)*(C_CAT=$B85)*ISNUMBER(C_CKDATA)*C_INTYPE,C_CKDATA))/(SUMPRODUCT((P_CKDATE&gt;F$79)*(P_CKDATE&lt;=G$79)*(P_CAT=$B85)*ISNUMBER(P_CKDATA)*P_INTYPE)+SUMPRODUCT((W_CKDATE&gt;F$79)*(W_CKDATE&lt;=G$79)*(W_CAT=$B85)*ISNUMBER(W_CKDATA)*W_INTYPE)+SUMPRODUCT((M_CKDATE&gt;F$79)*(M_CKDATE&lt;=G$79)*(M_CAT=$B85)*ISNUMBER(M_CKDATA)*M_INTYPE)+SUMPRODUCT((B_CKDATE&gt;F$79)*(B_CKDATE&lt;=G$79)*(B_CAT=$B85)*ISNUMBER(B_CKDATA)*B_INTYPE)+SUMPRODUCT((C_CKDATE&gt;F$79)*(C_CKDATE&lt;=G$79)*(C_CAT=$B85)*ISNUMBER(C_CKDATA)*C_INTYPE)),""),"")</f>
        <v/>
      </c>
      <c r="H85" s="302" t="str">
        <f>IF(ISNUMBER(H$78),IFERROR((SUMPRODUCT((P_CKDATE&gt;G$79)*(P_CKDATE&lt;=H$79)*(P_CAT=$B85)*ISNUMBER(P_CKDATA)*P_INTYPE,P_CKDATA)+SUMPRODUCT((W_CKDATE&gt;G$79)*(W_CKDATE&lt;=H$79)*(W_CAT=$B85)*ISNUMBER(W_CKDATA)*W_INTYPE,W_CKDATA)+SUMPRODUCT((M_CKDATE&gt;G$79)*(M_CKDATE&lt;=H$79)*(M_CAT=$B85)*ISNUMBER(M_CKDATA)*M_INTYPE,M_CKDATA)+SUMPRODUCT((B_CKDATE&gt;G$79)*(B_CKDATE&lt;=H$79)*(B_CAT=$B85)*ISNUMBER(B_CKDATA)*B_INTYPE,B_CKDATA)+SUMPRODUCT((C_CKDATE&gt;G$79)*(C_CKDATE&lt;=H$79)*(C_CAT=$B85)*ISNUMBER(C_CKDATA)*C_INTYPE,C_CKDATA))/(SUMPRODUCT((P_CKDATE&gt;G$79)*(P_CKDATE&lt;=H$79)*(P_CAT=$B85)*ISNUMBER(P_CKDATA)*P_INTYPE)+SUMPRODUCT((W_CKDATE&gt;G$79)*(W_CKDATE&lt;=H$79)*(W_CAT=$B85)*ISNUMBER(W_CKDATA)*W_INTYPE)+SUMPRODUCT((M_CKDATE&gt;G$79)*(M_CKDATE&lt;=H$79)*(M_CAT=$B85)*ISNUMBER(M_CKDATA)*M_INTYPE)+SUMPRODUCT((B_CKDATE&gt;G$79)*(B_CKDATE&lt;=H$79)*(B_CAT=$B85)*ISNUMBER(B_CKDATA)*B_INTYPE)+SUMPRODUCT((C_CKDATE&gt;G$79)*(C_CKDATE&lt;=H$79)*(C_CAT=$B85)*ISNUMBER(C_CKDATA)*C_INTYPE)),""),"")</f>
        <v/>
      </c>
      <c r="I85" s="302" t="str">
        <f>IF(ISNUMBER(I$78),IFERROR((SUMPRODUCT((P_CKDATE&gt;H$79)*(P_CKDATE&lt;=I$79)*(P_CAT=$B85)*ISNUMBER(P_CKDATA)*P_INTYPE,P_CKDATA)+SUMPRODUCT((W_CKDATE&gt;H$79)*(W_CKDATE&lt;=I$79)*(W_CAT=$B85)*ISNUMBER(W_CKDATA)*W_INTYPE,W_CKDATA)+SUMPRODUCT((M_CKDATE&gt;H$79)*(M_CKDATE&lt;=I$79)*(M_CAT=$B85)*ISNUMBER(M_CKDATA)*M_INTYPE,M_CKDATA)+SUMPRODUCT((B_CKDATE&gt;H$79)*(B_CKDATE&lt;=I$79)*(B_CAT=$B85)*ISNUMBER(B_CKDATA)*B_INTYPE,B_CKDATA)+SUMPRODUCT((C_CKDATE&gt;H$79)*(C_CKDATE&lt;=I$79)*(C_CAT=$B85)*ISNUMBER(C_CKDATA)*C_INTYPE,C_CKDATA))/(SUMPRODUCT((P_CKDATE&gt;H$79)*(P_CKDATE&lt;=I$79)*(P_CAT=$B85)*ISNUMBER(P_CKDATA)*P_INTYPE)+SUMPRODUCT((W_CKDATE&gt;H$79)*(W_CKDATE&lt;=I$79)*(W_CAT=$B85)*ISNUMBER(W_CKDATA)*W_INTYPE)+SUMPRODUCT((M_CKDATE&gt;H$79)*(M_CKDATE&lt;=I$79)*(M_CAT=$B85)*ISNUMBER(M_CKDATA)*M_INTYPE)+SUMPRODUCT((B_CKDATE&gt;H$79)*(B_CKDATE&lt;=I$79)*(B_CAT=$B85)*ISNUMBER(B_CKDATA)*B_INTYPE)+SUMPRODUCT((C_CKDATE&gt;H$79)*(C_CKDATE&lt;=I$79)*(C_CAT=$B85)*ISNUMBER(C_CKDATA)*C_INTYPE)),""),"")</f>
        <v/>
      </c>
      <c r="J85" s="302" t="str">
        <f>IF(ISNUMBER(J$78),IFERROR((SUMPRODUCT((P_CKDATE&gt;I$79)*(P_CKDATE&lt;=J$79)*(P_CAT=$B85)*ISNUMBER(P_CKDATA)*P_INTYPE,P_CKDATA)+SUMPRODUCT((W_CKDATE&gt;I$79)*(W_CKDATE&lt;=J$79)*(W_CAT=$B85)*ISNUMBER(W_CKDATA)*W_INTYPE,W_CKDATA)+SUMPRODUCT((M_CKDATE&gt;I$79)*(M_CKDATE&lt;=J$79)*(M_CAT=$B85)*ISNUMBER(M_CKDATA)*M_INTYPE,M_CKDATA)+SUMPRODUCT((B_CKDATE&gt;I$79)*(B_CKDATE&lt;=J$79)*(B_CAT=$B85)*ISNUMBER(B_CKDATA)*B_INTYPE,B_CKDATA)+SUMPRODUCT((C_CKDATE&gt;I$79)*(C_CKDATE&lt;=J$79)*(C_CAT=$B85)*ISNUMBER(C_CKDATA)*C_INTYPE,C_CKDATA))/(SUMPRODUCT((P_CKDATE&gt;I$79)*(P_CKDATE&lt;=J$79)*(P_CAT=$B85)*ISNUMBER(P_CKDATA)*P_INTYPE)+SUMPRODUCT((W_CKDATE&gt;I$79)*(W_CKDATE&lt;=J$79)*(W_CAT=$B85)*ISNUMBER(W_CKDATA)*W_INTYPE)+SUMPRODUCT((M_CKDATE&gt;I$79)*(M_CKDATE&lt;=J$79)*(M_CAT=$B85)*ISNUMBER(M_CKDATA)*M_INTYPE)+SUMPRODUCT((B_CKDATE&gt;I$79)*(B_CKDATE&lt;=J$79)*(B_CAT=$B85)*ISNUMBER(B_CKDATA)*B_INTYPE)+SUMPRODUCT((C_CKDATE&gt;I$79)*(C_CKDATE&lt;=J$79)*(C_CAT=$B85)*ISNUMBER(C_CKDATA)*C_INTYPE)),""),"")</f>
        <v/>
      </c>
      <c r="K85" s="302" t="str">
        <f>IF(ISNUMBER(K$78),IFERROR((SUMPRODUCT((P_CKDATE&gt;J$79)*(P_CKDATE&lt;=K$79)*(P_CAT=$B85)*ISNUMBER(P_CKDATA)*P_INTYPE,P_CKDATA)+SUMPRODUCT((W_CKDATE&gt;J$79)*(W_CKDATE&lt;=K$79)*(W_CAT=$B85)*ISNUMBER(W_CKDATA)*W_INTYPE,W_CKDATA)+SUMPRODUCT((M_CKDATE&gt;J$79)*(M_CKDATE&lt;=K$79)*(M_CAT=$B85)*ISNUMBER(M_CKDATA)*M_INTYPE,M_CKDATA)+SUMPRODUCT((B_CKDATE&gt;J$79)*(B_CKDATE&lt;=K$79)*(B_CAT=$B85)*ISNUMBER(B_CKDATA)*B_INTYPE,B_CKDATA)+SUMPRODUCT((C_CKDATE&gt;J$79)*(C_CKDATE&lt;=K$79)*(C_CAT=$B85)*ISNUMBER(C_CKDATA)*C_INTYPE,C_CKDATA))/(SUMPRODUCT((P_CKDATE&gt;J$79)*(P_CKDATE&lt;=K$79)*(P_CAT=$B85)*ISNUMBER(P_CKDATA)*P_INTYPE)+SUMPRODUCT((W_CKDATE&gt;J$79)*(W_CKDATE&lt;=K$79)*(W_CAT=$B85)*ISNUMBER(W_CKDATA)*W_INTYPE)+SUMPRODUCT((M_CKDATE&gt;J$79)*(M_CKDATE&lt;=K$79)*(M_CAT=$B85)*ISNUMBER(M_CKDATA)*M_INTYPE)+SUMPRODUCT((B_CKDATE&gt;J$79)*(B_CKDATE&lt;=K$79)*(B_CAT=$B85)*ISNUMBER(B_CKDATA)*B_INTYPE)+SUMPRODUCT((C_CKDATE&gt;J$79)*(C_CKDATE&lt;=K$79)*(C_CAT=$B85)*ISNUMBER(C_CKDATA)*C_INTYPE)),""),"")</f>
        <v/>
      </c>
      <c r="L85" s="302" t="str">
        <f>IF(ISNUMBER(L$78),IFERROR((SUMPRODUCT((P_CKDATE&gt;K$79)*(P_CKDATE&lt;=L$79)*(P_CAT=$B85)*ISNUMBER(P_CKDATA)*P_INTYPE,P_CKDATA)+SUMPRODUCT((W_CKDATE&gt;K$79)*(W_CKDATE&lt;=L$79)*(W_CAT=$B85)*ISNUMBER(W_CKDATA)*W_INTYPE,W_CKDATA)+SUMPRODUCT((M_CKDATE&gt;K$79)*(M_CKDATE&lt;=L$79)*(M_CAT=$B85)*ISNUMBER(M_CKDATA)*M_INTYPE,M_CKDATA)+SUMPRODUCT((B_CKDATE&gt;K$79)*(B_CKDATE&lt;=L$79)*(B_CAT=$B85)*ISNUMBER(B_CKDATA)*B_INTYPE,B_CKDATA)+SUMPRODUCT((C_CKDATE&gt;K$79)*(C_CKDATE&lt;=L$79)*(C_CAT=$B85)*ISNUMBER(C_CKDATA)*C_INTYPE,C_CKDATA))/(SUMPRODUCT((P_CKDATE&gt;K$79)*(P_CKDATE&lt;=L$79)*(P_CAT=$B85)*ISNUMBER(P_CKDATA)*P_INTYPE)+SUMPRODUCT((W_CKDATE&gt;K$79)*(W_CKDATE&lt;=L$79)*(W_CAT=$B85)*ISNUMBER(W_CKDATA)*W_INTYPE)+SUMPRODUCT((M_CKDATE&gt;K$79)*(M_CKDATE&lt;=L$79)*(M_CAT=$B85)*ISNUMBER(M_CKDATA)*M_INTYPE)+SUMPRODUCT((B_CKDATE&gt;K$79)*(B_CKDATE&lt;=L$79)*(B_CAT=$B85)*ISNUMBER(B_CKDATA)*B_INTYPE)+SUMPRODUCT((C_CKDATE&gt;K$79)*(C_CKDATE&lt;=L$79)*(C_CAT=$B85)*ISNUMBER(C_CKDATA)*C_INTYPE)),""),"")</f>
        <v/>
      </c>
      <c r="M85" s="302" t="str">
        <f>IF(ISNUMBER(M$78),IFERROR((SUMPRODUCT((P_CKDATE&gt;L$79)*(P_CKDATE&lt;=M$79)*(P_CAT=$B85)*ISNUMBER(P_CKDATA)*P_INTYPE,P_CKDATA)+SUMPRODUCT((W_CKDATE&gt;L$79)*(W_CKDATE&lt;=M$79)*(W_CAT=$B85)*ISNUMBER(W_CKDATA)*W_INTYPE,W_CKDATA)+SUMPRODUCT((M_CKDATE&gt;L$79)*(M_CKDATE&lt;=M$79)*(M_CAT=$B85)*ISNUMBER(M_CKDATA)*M_INTYPE,M_CKDATA)+SUMPRODUCT((B_CKDATE&gt;L$79)*(B_CKDATE&lt;=M$79)*(B_CAT=$B85)*ISNUMBER(B_CKDATA)*B_INTYPE,B_CKDATA)+SUMPRODUCT((C_CKDATE&gt;L$79)*(C_CKDATE&lt;=M$79)*(C_CAT=$B85)*ISNUMBER(C_CKDATA)*C_INTYPE,C_CKDATA))/(SUMPRODUCT((P_CKDATE&gt;L$79)*(P_CKDATE&lt;=M$79)*(P_CAT=$B85)*ISNUMBER(P_CKDATA)*P_INTYPE)+SUMPRODUCT((W_CKDATE&gt;L$79)*(W_CKDATE&lt;=M$79)*(W_CAT=$B85)*ISNUMBER(W_CKDATA)*W_INTYPE)+SUMPRODUCT((M_CKDATE&gt;L$79)*(M_CKDATE&lt;=M$79)*(M_CAT=$B85)*ISNUMBER(M_CKDATA)*M_INTYPE)+SUMPRODUCT((B_CKDATE&gt;L$79)*(B_CKDATE&lt;=M$79)*(B_CAT=$B85)*ISNUMBER(B_CKDATA)*B_INTYPE)+SUMPRODUCT((C_CKDATE&gt;L$79)*(C_CKDATE&lt;=M$79)*(C_CAT=$B85)*ISNUMBER(C_CKDATA)*C_INTYPE)),""),"")</f>
        <v/>
      </c>
      <c r="N85" s="288"/>
      <c r="O85" s="288"/>
      <c r="P85" s="288"/>
      <c r="Q85" s="288"/>
      <c r="R85" s="288"/>
      <c r="S85" s="288"/>
      <c r="T85" s="288"/>
      <c r="U85" s="288"/>
      <c r="V85" s="288"/>
      <c r="W85" s="288"/>
      <c r="X85" s="288"/>
      <c r="Y85" s="288"/>
      <c r="Z85" s="288"/>
      <c r="AA85" s="288"/>
      <c r="AB85" s="288"/>
      <c r="AC85" s="288"/>
      <c r="AD85" s="288"/>
      <c r="AE85" s="288"/>
      <c r="AF85" s="288"/>
    </row>
    <row r="86" spans="1:32" ht="15" customHeight="1" x14ac:dyDescent="0.2">
      <c r="B86" s="465" t="s">
        <v>649</v>
      </c>
      <c r="C86" s="466"/>
      <c r="D86" s="302" t="str">
        <f>IFERROR((SUMPRODUCT(ISNUMBER(P_CKDATE)*(P_CAT=$B86)*ISNUMBER(P_CKDATA)*P_INTYPE,P_CKDATA)+SUMPRODUCT(ISNUMBER(W_CKDATE)*(W_CAT=$B86)*ISNUMBER(W_CKDATA)*W_INTYPE,W_CKDATA)+SUMPRODUCT(ISNUMBER(M_CKDATE)*(M_CAT=$B86)*ISNUMBER(M_CKDATA)*M_INTYPE,M_CKDATA)+SUMPRODUCT(ISNUMBER(B_CKDATE)*(B_CAT=$B86)*ISNUMBER(B_CKDATA)*B_INTYPE,B_CKDATA)+SUMPRODUCT(ISNUMBER(C_CKDATE)*(C_CAT=$B86)*ISNUMBER(C_CKDATA)*C_INTYPE,C_CKDATA))/(SUMPRODUCT(ISNUMBER(P_CKDATE)*(P_CAT=$B86)*ISNUMBER(P_CKDATA)*P_INTYPE)+SUMPRODUCT(ISNUMBER(W_CKDATE)*(W_CAT=$B86)*ISNUMBER(W_CKDATA)*W_INTYPE)+SUMPRODUCT(ISNUMBER(M_CKDATE)*(M_CAT=$B86)*ISNUMBER(M_CKDATA)*M_INTYPE)+SUMPRODUCT(ISNUMBER(B_CKDATE)*(B_CAT=$B86)*ISNUMBER(B_CKDATA)*B_INTYPE)+SUMPRODUCT(ISNUMBER(C_CKDATE)*(C_CAT=$B86)*ISNUMBER(C_CKDATA)*C_INTYPE)),"")</f>
        <v/>
      </c>
      <c r="E86" s="302" t="str">
        <f>IF(ISNUMBER(E$78),IFERROR((SUMPRODUCT((P_CKDATE&gt;D$79)*(P_CKDATE&lt;=E$79)*(P_CAT=$B86)*ISNUMBER(P_CKDATA)*P_INTYPE,P_CKDATA)+SUMPRODUCT((W_CKDATE&gt;D$79)*(W_CKDATE&lt;=E$79)*(W_CAT=$B86)*ISNUMBER(W_CKDATA)*W_INTYPE,W_CKDATA)+SUMPRODUCT((M_CKDATE&gt;D$79)*(M_CKDATE&lt;=E$79)*(M_CAT=$B86)*ISNUMBER(M_CKDATA)*M_INTYPE,M_CKDATA)+SUMPRODUCT((B_CKDATE&gt;D$79)*(B_CKDATE&lt;=E$79)*(B_CAT=$B86)*ISNUMBER(B_CKDATA)*B_INTYPE,B_CKDATA)+SUMPRODUCT((C_CKDATE&gt;D$79)*(C_CKDATE&lt;=E$79)*(C_CAT=$B86)*ISNUMBER(C_CKDATA)*C_INTYPE,C_CKDATA))/(SUMPRODUCT((P_CKDATE&gt;D$79)*(P_CKDATE&lt;=E$79)*(P_CAT=$B86)*ISNUMBER(P_CKDATA)*P_INTYPE)+SUMPRODUCT((W_CKDATE&gt;D$79)*(W_CKDATE&lt;=E$79)*(W_CAT=$B86)*ISNUMBER(W_CKDATA)*W_INTYPE)+SUMPRODUCT((M_CKDATE&gt;D$79)*(M_CKDATE&lt;=E$79)*(M_CAT=$B86)*ISNUMBER(M_CKDATA)*M_INTYPE)+SUMPRODUCT((B_CKDATE&gt;D$79)*(B_CKDATE&lt;=E$79)*(B_CAT=$B86)*ISNUMBER(B_CKDATA)*B_INTYPE)+SUMPRODUCT((C_CKDATE&gt;D$79)*(C_CKDATE&lt;=E$79)*(C_CAT=$B86)*ISNUMBER(C_CKDATA)*C_INTYPE)),""),"")</f>
        <v/>
      </c>
      <c r="F86" s="302" t="str">
        <f>IF(ISNUMBER(F$78),IFERROR((SUMPRODUCT((P_CKDATE&gt;E$79)*(P_CKDATE&lt;=F$79)*(P_CAT=$B86)*ISNUMBER(P_CKDATA)*P_INTYPE,P_CKDATA)+SUMPRODUCT((W_CKDATE&gt;E$79)*(W_CKDATE&lt;=F$79)*(W_CAT=$B86)*ISNUMBER(W_CKDATA)*W_INTYPE,W_CKDATA)+SUMPRODUCT((M_CKDATE&gt;E$79)*(M_CKDATE&lt;=F$79)*(M_CAT=$B86)*ISNUMBER(M_CKDATA)*M_INTYPE,M_CKDATA)+SUMPRODUCT((B_CKDATE&gt;E$79)*(B_CKDATE&lt;=F$79)*(B_CAT=$B86)*ISNUMBER(B_CKDATA)*B_INTYPE,B_CKDATA)+SUMPRODUCT((C_CKDATE&gt;E$79)*(C_CKDATE&lt;=F$79)*(C_CAT=$B86)*ISNUMBER(C_CKDATA)*C_INTYPE,C_CKDATA))/(SUMPRODUCT((P_CKDATE&gt;E$79)*(P_CKDATE&lt;=F$79)*(P_CAT=$B86)*ISNUMBER(P_CKDATA)*P_INTYPE)+SUMPRODUCT((W_CKDATE&gt;E$79)*(W_CKDATE&lt;=F$79)*(W_CAT=$B86)*ISNUMBER(W_CKDATA)*W_INTYPE)+SUMPRODUCT((M_CKDATE&gt;E$79)*(M_CKDATE&lt;=F$79)*(M_CAT=$B86)*ISNUMBER(M_CKDATA)*M_INTYPE)+SUMPRODUCT((B_CKDATE&gt;E$79)*(B_CKDATE&lt;=F$79)*(B_CAT=$B86)*ISNUMBER(B_CKDATA)*B_INTYPE)+SUMPRODUCT((C_CKDATE&gt;E$79)*(C_CKDATE&lt;=F$79)*(C_CAT=$B86)*ISNUMBER(C_CKDATA)*C_INTYPE)),""),"")</f>
        <v/>
      </c>
      <c r="G86" s="302" t="str">
        <f>IF(ISNUMBER(G$78),IFERROR((SUMPRODUCT((P_CKDATE&gt;F$79)*(P_CKDATE&lt;=G$79)*(P_CAT=$B86)*ISNUMBER(P_CKDATA)*P_INTYPE,P_CKDATA)+SUMPRODUCT((W_CKDATE&gt;F$79)*(W_CKDATE&lt;=G$79)*(W_CAT=$B86)*ISNUMBER(W_CKDATA)*W_INTYPE,W_CKDATA)+SUMPRODUCT((M_CKDATE&gt;F$79)*(M_CKDATE&lt;=G$79)*(M_CAT=$B86)*ISNUMBER(M_CKDATA)*M_INTYPE,M_CKDATA)+SUMPRODUCT((B_CKDATE&gt;F$79)*(B_CKDATE&lt;=G$79)*(B_CAT=$B86)*ISNUMBER(B_CKDATA)*B_INTYPE,B_CKDATA)+SUMPRODUCT((C_CKDATE&gt;F$79)*(C_CKDATE&lt;=G$79)*(C_CAT=$B86)*ISNUMBER(C_CKDATA)*C_INTYPE,C_CKDATA))/(SUMPRODUCT((P_CKDATE&gt;F$79)*(P_CKDATE&lt;=G$79)*(P_CAT=$B86)*ISNUMBER(P_CKDATA)*P_INTYPE)+SUMPRODUCT((W_CKDATE&gt;F$79)*(W_CKDATE&lt;=G$79)*(W_CAT=$B86)*ISNUMBER(W_CKDATA)*W_INTYPE)+SUMPRODUCT((M_CKDATE&gt;F$79)*(M_CKDATE&lt;=G$79)*(M_CAT=$B86)*ISNUMBER(M_CKDATA)*M_INTYPE)+SUMPRODUCT((B_CKDATE&gt;F$79)*(B_CKDATE&lt;=G$79)*(B_CAT=$B86)*ISNUMBER(B_CKDATA)*B_INTYPE)+SUMPRODUCT((C_CKDATE&gt;F$79)*(C_CKDATE&lt;=G$79)*(C_CAT=$B86)*ISNUMBER(C_CKDATA)*C_INTYPE)),""),"")</f>
        <v/>
      </c>
      <c r="H86" s="302" t="str">
        <f>IF(ISNUMBER(H$78),IFERROR((SUMPRODUCT((P_CKDATE&gt;G$79)*(P_CKDATE&lt;=H$79)*(P_CAT=$B86)*ISNUMBER(P_CKDATA)*P_INTYPE,P_CKDATA)+SUMPRODUCT((W_CKDATE&gt;G$79)*(W_CKDATE&lt;=H$79)*(W_CAT=$B86)*ISNUMBER(W_CKDATA)*W_INTYPE,W_CKDATA)+SUMPRODUCT((M_CKDATE&gt;G$79)*(M_CKDATE&lt;=H$79)*(M_CAT=$B86)*ISNUMBER(M_CKDATA)*M_INTYPE,M_CKDATA)+SUMPRODUCT((B_CKDATE&gt;G$79)*(B_CKDATE&lt;=H$79)*(B_CAT=$B86)*ISNUMBER(B_CKDATA)*B_INTYPE,B_CKDATA)+SUMPRODUCT((C_CKDATE&gt;G$79)*(C_CKDATE&lt;=H$79)*(C_CAT=$B86)*ISNUMBER(C_CKDATA)*C_INTYPE,C_CKDATA))/(SUMPRODUCT((P_CKDATE&gt;G$79)*(P_CKDATE&lt;=H$79)*(P_CAT=$B86)*ISNUMBER(P_CKDATA)*P_INTYPE)+SUMPRODUCT((W_CKDATE&gt;G$79)*(W_CKDATE&lt;=H$79)*(W_CAT=$B86)*ISNUMBER(W_CKDATA)*W_INTYPE)+SUMPRODUCT((M_CKDATE&gt;G$79)*(M_CKDATE&lt;=H$79)*(M_CAT=$B86)*ISNUMBER(M_CKDATA)*M_INTYPE)+SUMPRODUCT((B_CKDATE&gt;G$79)*(B_CKDATE&lt;=H$79)*(B_CAT=$B86)*ISNUMBER(B_CKDATA)*B_INTYPE)+SUMPRODUCT((C_CKDATE&gt;G$79)*(C_CKDATE&lt;=H$79)*(C_CAT=$B86)*ISNUMBER(C_CKDATA)*C_INTYPE)),""),"")</f>
        <v/>
      </c>
      <c r="I86" s="302" t="str">
        <f>IF(ISNUMBER(I$78),IFERROR((SUMPRODUCT((P_CKDATE&gt;H$79)*(P_CKDATE&lt;=I$79)*(P_CAT=$B86)*ISNUMBER(P_CKDATA)*P_INTYPE,P_CKDATA)+SUMPRODUCT((W_CKDATE&gt;H$79)*(W_CKDATE&lt;=I$79)*(W_CAT=$B86)*ISNUMBER(W_CKDATA)*W_INTYPE,W_CKDATA)+SUMPRODUCT((M_CKDATE&gt;H$79)*(M_CKDATE&lt;=I$79)*(M_CAT=$B86)*ISNUMBER(M_CKDATA)*M_INTYPE,M_CKDATA)+SUMPRODUCT((B_CKDATE&gt;H$79)*(B_CKDATE&lt;=I$79)*(B_CAT=$B86)*ISNUMBER(B_CKDATA)*B_INTYPE,B_CKDATA)+SUMPRODUCT((C_CKDATE&gt;H$79)*(C_CKDATE&lt;=I$79)*(C_CAT=$B86)*ISNUMBER(C_CKDATA)*C_INTYPE,C_CKDATA))/(SUMPRODUCT((P_CKDATE&gt;H$79)*(P_CKDATE&lt;=I$79)*(P_CAT=$B86)*ISNUMBER(P_CKDATA)*P_INTYPE)+SUMPRODUCT((W_CKDATE&gt;H$79)*(W_CKDATE&lt;=I$79)*(W_CAT=$B86)*ISNUMBER(W_CKDATA)*W_INTYPE)+SUMPRODUCT((M_CKDATE&gt;H$79)*(M_CKDATE&lt;=I$79)*(M_CAT=$B86)*ISNUMBER(M_CKDATA)*M_INTYPE)+SUMPRODUCT((B_CKDATE&gt;H$79)*(B_CKDATE&lt;=I$79)*(B_CAT=$B86)*ISNUMBER(B_CKDATA)*B_INTYPE)+SUMPRODUCT((C_CKDATE&gt;H$79)*(C_CKDATE&lt;=I$79)*(C_CAT=$B86)*ISNUMBER(C_CKDATA)*C_INTYPE)),""),"")</f>
        <v/>
      </c>
      <c r="J86" s="302" t="str">
        <f>IF(ISNUMBER(J$78),IFERROR((SUMPRODUCT((P_CKDATE&gt;I$79)*(P_CKDATE&lt;=J$79)*(P_CAT=$B86)*ISNUMBER(P_CKDATA)*P_INTYPE,P_CKDATA)+SUMPRODUCT((W_CKDATE&gt;I$79)*(W_CKDATE&lt;=J$79)*(W_CAT=$B86)*ISNUMBER(W_CKDATA)*W_INTYPE,W_CKDATA)+SUMPRODUCT((M_CKDATE&gt;I$79)*(M_CKDATE&lt;=J$79)*(M_CAT=$B86)*ISNUMBER(M_CKDATA)*M_INTYPE,M_CKDATA)+SUMPRODUCT((B_CKDATE&gt;I$79)*(B_CKDATE&lt;=J$79)*(B_CAT=$B86)*ISNUMBER(B_CKDATA)*B_INTYPE,B_CKDATA)+SUMPRODUCT((C_CKDATE&gt;I$79)*(C_CKDATE&lt;=J$79)*(C_CAT=$B86)*ISNUMBER(C_CKDATA)*C_INTYPE,C_CKDATA))/(SUMPRODUCT((P_CKDATE&gt;I$79)*(P_CKDATE&lt;=J$79)*(P_CAT=$B86)*ISNUMBER(P_CKDATA)*P_INTYPE)+SUMPRODUCT((W_CKDATE&gt;I$79)*(W_CKDATE&lt;=J$79)*(W_CAT=$B86)*ISNUMBER(W_CKDATA)*W_INTYPE)+SUMPRODUCT((M_CKDATE&gt;I$79)*(M_CKDATE&lt;=J$79)*(M_CAT=$B86)*ISNUMBER(M_CKDATA)*M_INTYPE)+SUMPRODUCT((B_CKDATE&gt;I$79)*(B_CKDATE&lt;=J$79)*(B_CAT=$B86)*ISNUMBER(B_CKDATA)*B_INTYPE)+SUMPRODUCT((C_CKDATE&gt;I$79)*(C_CKDATE&lt;=J$79)*(C_CAT=$B86)*ISNUMBER(C_CKDATA)*C_INTYPE)),""),"")</f>
        <v/>
      </c>
      <c r="K86" s="302" t="str">
        <f>IF(ISNUMBER(K$78),IFERROR((SUMPRODUCT((P_CKDATE&gt;J$79)*(P_CKDATE&lt;=K$79)*(P_CAT=$B86)*ISNUMBER(P_CKDATA)*P_INTYPE,P_CKDATA)+SUMPRODUCT((W_CKDATE&gt;J$79)*(W_CKDATE&lt;=K$79)*(W_CAT=$B86)*ISNUMBER(W_CKDATA)*W_INTYPE,W_CKDATA)+SUMPRODUCT((M_CKDATE&gt;J$79)*(M_CKDATE&lt;=K$79)*(M_CAT=$B86)*ISNUMBER(M_CKDATA)*M_INTYPE,M_CKDATA)+SUMPRODUCT((B_CKDATE&gt;J$79)*(B_CKDATE&lt;=K$79)*(B_CAT=$B86)*ISNUMBER(B_CKDATA)*B_INTYPE,B_CKDATA)+SUMPRODUCT((C_CKDATE&gt;J$79)*(C_CKDATE&lt;=K$79)*(C_CAT=$B86)*ISNUMBER(C_CKDATA)*C_INTYPE,C_CKDATA))/(SUMPRODUCT((P_CKDATE&gt;J$79)*(P_CKDATE&lt;=K$79)*(P_CAT=$B86)*ISNUMBER(P_CKDATA)*P_INTYPE)+SUMPRODUCT((W_CKDATE&gt;J$79)*(W_CKDATE&lt;=K$79)*(W_CAT=$B86)*ISNUMBER(W_CKDATA)*W_INTYPE)+SUMPRODUCT((M_CKDATE&gt;J$79)*(M_CKDATE&lt;=K$79)*(M_CAT=$B86)*ISNUMBER(M_CKDATA)*M_INTYPE)+SUMPRODUCT((B_CKDATE&gt;J$79)*(B_CKDATE&lt;=K$79)*(B_CAT=$B86)*ISNUMBER(B_CKDATA)*B_INTYPE)+SUMPRODUCT((C_CKDATE&gt;J$79)*(C_CKDATE&lt;=K$79)*(C_CAT=$B86)*ISNUMBER(C_CKDATA)*C_INTYPE)),""),"")</f>
        <v/>
      </c>
      <c r="L86" s="302" t="str">
        <f>IF(ISNUMBER(L$78),IFERROR((SUMPRODUCT((P_CKDATE&gt;K$79)*(P_CKDATE&lt;=L$79)*(P_CAT=$B86)*ISNUMBER(P_CKDATA)*P_INTYPE,P_CKDATA)+SUMPRODUCT((W_CKDATE&gt;K$79)*(W_CKDATE&lt;=L$79)*(W_CAT=$B86)*ISNUMBER(W_CKDATA)*W_INTYPE,W_CKDATA)+SUMPRODUCT((M_CKDATE&gt;K$79)*(M_CKDATE&lt;=L$79)*(M_CAT=$B86)*ISNUMBER(M_CKDATA)*M_INTYPE,M_CKDATA)+SUMPRODUCT((B_CKDATE&gt;K$79)*(B_CKDATE&lt;=L$79)*(B_CAT=$B86)*ISNUMBER(B_CKDATA)*B_INTYPE,B_CKDATA)+SUMPRODUCT((C_CKDATE&gt;K$79)*(C_CKDATE&lt;=L$79)*(C_CAT=$B86)*ISNUMBER(C_CKDATA)*C_INTYPE,C_CKDATA))/(SUMPRODUCT((P_CKDATE&gt;K$79)*(P_CKDATE&lt;=L$79)*(P_CAT=$B86)*ISNUMBER(P_CKDATA)*P_INTYPE)+SUMPRODUCT((W_CKDATE&gt;K$79)*(W_CKDATE&lt;=L$79)*(W_CAT=$B86)*ISNUMBER(W_CKDATA)*W_INTYPE)+SUMPRODUCT((M_CKDATE&gt;K$79)*(M_CKDATE&lt;=L$79)*(M_CAT=$B86)*ISNUMBER(M_CKDATA)*M_INTYPE)+SUMPRODUCT((B_CKDATE&gt;K$79)*(B_CKDATE&lt;=L$79)*(B_CAT=$B86)*ISNUMBER(B_CKDATA)*B_INTYPE)+SUMPRODUCT((C_CKDATE&gt;K$79)*(C_CKDATE&lt;=L$79)*(C_CAT=$B86)*ISNUMBER(C_CKDATA)*C_INTYPE)),""),"")</f>
        <v/>
      </c>
      <c r="M86" s="302" t="str">
        <f>IF(ISNUMBER(M$78),IFERROR((SUMPRODUCT((P_CKDATE&gt;L$79)*(P_CKDATE&lt;=M$79)*(P_CAT=$B86)*ISNUMBER(P_CKDATA)*P_INTYPE,P_CKDATA)+SUMPRODUCT((W_CKDATE&gt;L$79)*(W_CKDATE&lt;=M$79)*(W_CAT=$B86)*ISNUMBER(W_CKDATA)*W_INTYPE,W_CKDATA)+SUMPRODUCT((M_CKDATE&gt;L$79)*(M_CKDATE&lt;=M$79)*(M_CAT=$B86)*ISNUMBER(M_CKDATA)*M_INTYPE,M_CKDATA)+SUMPRODUCT((B_CKDATE&gt;L$79)*(B_CKDATE&lt;=M$79)*(B_CAT=$B86)*ISNUMBER(B_CKDATA)*B_INTYPE,B_CKDATA)+SUMPRODUCT((C_CKDATE&gt;L$79)*(C_CKDATE&lt;=M$79)*(C_CAT=$B86)*ISNUMBER(C_CKDATA)*C_INTYPE,C_CKDATA))/(SUMPRODUCT((P_CKDATE&gt;L$79)*(P_CKDATE&lt;=M$79)*(P_CAT=$B86)*ISNUMBER(P_CKDATA)*P_INTYPE)+SUMPRODUCT((W_CKDATE&gt;L$79)*(W_CKDATE&lt;=M$79)*(W_CAT=$B86)*ISNUMBER(W_CKDATA)*W_INTYPE)+SUMPRODUCT((M_CKDATE&gt;L$79)*(M_CKDATE&lt;=M$79)*(M_CAT=$B86)*ISNUMBER(M_CKDATA)*M_INTYPE)+SUMPRODUCT((B_CKDATE&gt;L$79)*(B_CKDATE&lt;=M$79)*(B_CAT=$B86)*ISNUMBER(B_CKDATA)*B_INTYPE)+SUMPRODUCT((C_CKDATE&gt;L$79)*(C_CKDATE&lt;=M$79)*(C_CAT=$B86)*ISNUMBER(C_CKDATA)*C_INTYPE)),""),"")</f>
        <v/>
      </c>
      <c r="N86" s="288"/>
      <c r="O86" s="288"/>
      <c r="P86" s="288"/>
      <c r="Q86" s="288"/>
      <c r="R86" s="288"/>
      <c r="S86" s="288"/>
      <c r="T86" s="288"/>
      <c r="U86" s="288"/>
      <c r="V86" s="288"/>
      <c r="W86" s="288"/>
      <c r="X86" s="288"/>
      <c r="Y86" s="288"/>
      <c r="Z86" s="288"/>
      <c r="AA86" s="288"/>
      <c r="AB86" s="288"/>
      <c r="AC86" s="288"/>
      <c r="AD86" s="288"/>
      <c r="AE86" s="288"/>
      <c r="AF86" s="288"/>
    </row>
    <row r="87" spans="1:32" ht="15" customHeight="1" x14ac:dyDescent="0.2">
      <c r="B87" s="465" t="s">
        <v>285</v>
      </c>
      <c r="C87" s="466"/>
      <c r="D87" s="302" t="str">
        <f>IFERROR((SUMPRODUCT(ISNUMBER(P_CKDATE)*(P_CAT=$B87)*ISNUMBER(P_CKDATA)*P_INTYPE,P_CKDATA)+SUMPRODUCT(ISNUMBER(W_CKDATE)*(W_CAT=$B87)*ISNUMBER(W_CKDATA)*W_INTYPE,W_CKDATA)+SUMPRODUCT(ISNUMBER(M_CKDATE)*(M_CAT=$B87)*ISNUMBER(M_CKDATA)*M_INTYPE,M_CKDATA)+SUMPRODUCT(ISNUMBER(B_CKDATE)*(B_CAT=$B87)*ISNUMBER(B_CKDATA)*B_INTYPE,B_CKDATA)+SUMPRODUCT(ISNUMBER(C_CKDATE)*(C_CAT=$B87)*ISNUMBER(C_CKDATA)*C_INTYPE,C_CKDATA))/(SUMPRODUCT(ISNUMBER(P_CKDATE)*(P_CAT=$B87)*ISNUMBER(P_CKDATA)*P_INTYPE)+SUMPRODUCT(ISNUMBER(W_CKDATE)*(W_CAT=$B87)*ISNUMBER(W_CKDATA)*W_INTYPE)+SUMPRODUCT(ISNUMBER(M_CKDATE)*(M_CAT=$B87)*ISNUMBER(M_CKDATA)*M_INTYPE)+SUMPRODUCT(ISNUMBER(B_CKDATE)*(B_CAT=$B87)*ISNUMBER(B_CKDATA)*B_INTYPE)+SUMPRODUCT(ISNUMBER(C_CKDATE)*(C_CAT=$B87)*ISNUMBER(C_CKDATA)*C_INTYPE)),"")</f>
        <v/>
      </c>
      <c r="E87" s="302" t="str">
        <f>IF(ISNUMBER(E$78),IFERROR((SUMPRODUCT((P_CKDATE&gt;D$79)*(P_CKDATE&lt;=E$79)*(P_CAT=$B87)*ISNUMBER(P_CKDATA)*P_INTYPE,P_CKDATA)+SUMPRODUCT((W_CKDATE&gt;D$79)*(W_CKDATE&lt;=E$79)*(W_CAT=$B87)*ISNUMBER(W_CKDATA)*W_INTYPE,W_CKDATA)+SUMPRODUCT((M_CKDATE&gt;D$79)*(M_CKDATE&lt;=E$79)*(M_CAT=$B87)*ISNUMBER(M_CKDATA)*M_INTYPE,M_CKDATA)+SUMPRODUCT((B_CKDATE&gt;D$79)*(B_CKDATE&lt;=E$79)*(B_CAT=$B87)*ISNUMBER(B_CKDATA)*B_INTYPE,B_CKDATA)+SUMPRODUCT((C_CKDATE&gt;D$79)*(C_CKDATE&lt;=E$79)*(C_CAT=$B87)*ISNUMBER(C_CKDATA)*C_INTYPE,C_CKDATA))/(SUMPRODUCT((P_CKDATE&gt;D$79)*(P_CKDATE&lt;=E$79)*(P_CAT=$B87)*ISNUMBER(P_CKDATA)*P_INTYPE)+SUMPRODUCT((W_CKDATE&gt;D$79)*(W_CKDATE&lt;=E$79)*(W_CAT=$B87)*ISNUMBER(W_CKDATA)*W_INTYPE)+SUMPRODUCT((M_CKDATE&gt;D$79)*(M_CKDATE&lt;=E$79)*(M_CAT=$B87)*ISNUMBER(M_CKDATA)*M_INTYPE)+SUMPRODUCT((B_CKDATE&gt;D$79)*(B_CKDATE&lt;=E$79)*(B_CAT=$B87)*ISNUMBER(B_CKDATA)*B_INTYPE)+SUMPRODUCT((C_CKDATE&gt;D$79)*(C_CKDATE&lt;=E$79)*(C_CAT=$B87)*ISNUMBER(C_CKDATA)*C_INTYPE)),""),"")</f>
        <v/>
      </c>
      <c r="F87" s="302" t="str">
        <f>IF(ISNUMBER(F$78),IFERROR((SUMPRODUCT((P_CKDATE&gt;E$79)*(P_CKDATE&lt;=F$79)*(P_CAT=$B87)*ISNUMBER(P_CKDATA)*P_INTYPE,P_CKDATA)+SUMPRODUCT((W_CKDATE&gt;E$79)*(W_CKDATE&lt;=F$79)*(W_CAT=$B87)*ISNUMBER(W_CKDATA)*W_INTYPE,W_CKDATA)+SUMPRODUCT((M_CKDATE&gt;E$79)*(M_CKDATE&lt;=F$79)*(M_CAT=$B87)*ISNUMBER(M_CKDATA)*M_INTYPE,M_CKDATA)+SUMPRODUCT((B_CKDATE&gt;E$79)*(B_CKDATE&lt;=F$79)*(B_CAT=$B87)*ISNUMBER(B_CKDATA)*B_INTYPE,B_CKDATA)+SUMPRODUCT((C_CKDATE&gt;E$79)*(C_CKDATE&lt;=F$79)*(C_CAT=$B87)*ISNUMBER(C_CKDATA)*C_INTYPE,C_CKDATA))/(SUMPRODUCT((P_CKDATE&gt;E$79)*(P_CKDATE&lt;=F$79)*(P_CAT=$B87)*ISNUMBER(P_CKDATA)*P_INTYPE)+SUMPRODUCT((W_CKDATE&gt;E$79)*(W_CKDATE&lt;=F$79)*(W_CAT=$B87)*ISNUMBER(W_CKDATA)*W_INTYPE)+SUMPRODUCT((M_CKDATE&gt;E$79)*(M_CKDATE&lt;=F$79)*(M_CAT=$B87)*ISNUMBER(M_CKDATA)*M_INTYPE)+SUMPRODUCT((B_CKDATE&gt;E$79)*(B_CKDATE&lt;=F$79)*(B_CAT=$B87)*ISNUMBER(B_CKDATA)*B_INTYPE)+SUMPRODUCT((C_CKDATE&gt;E$79)*(C_CKDATE&lt;=F$79)*(C_CAT=$B87)*ISNUMBER(C_CKDATA)*C_INTYPE)),""),"")</f>
        <v/>
      </c>
      <c r="G87" s="302" t="str">
        <f>IF(ISNUMBER(G$78),IFERROR((SUMPRODUCT((P_CKDATE&gt;F$79)*(P_CKDATE&lt;=G$79)*(P_CAT=$B87)*ISNUMBER(P_CKDATA)*P_INTYPE,P_CKDATA)+SUMPRODUCT((W_CKDATE&gt;F$79)*(W_CKDATE&lt;=G$79)*(W_CAT=$B87)*ISNUMBER(W_CKDATA)*W_INTYPE,W_CKDATA)+SUMPRODUCT((M_CKDATE&gt;F$79)*(M_CKDATE&lt;=G$79)*(M_CAT=$B87)*ISNUMBER(M_CKDATA)*M_INTYPE,M_CKDATA)+SUMPRODUCT((B_CKDATE&gt;F$79)*(B_CKDATE&lt;=G$79)*(B_CAT=$B87)*ISNUMBER(B_CKDATA)*B_INTYPE,B_CKDATA)+SUMPRODUCT((C_CKDATE&gt;F$79)*(C_CKDATE&lt;=G$79)*(C_CAT=$B87)*ISNUMBER(C_CKDATA)*C_INTYPE,C_CKDATA))/(SUMPRODUCT((P_CKDATE&gt;F$79)*(P_CKDATE&lt;=G$79)*(P_CAT=$B87)*ISNUMBER(P_CKDATA)*P_INTYPE)+SUMPRODUCT((W_CKDATE&gt;F$79)*(W_CKDATE&lt;=G$79)*(W_CAT=$B87)*ISNUMBER(W_CKDATA)*W_INTYPE)+SUMPRODUCT((M_CKDATE&gt;F$79)*(M_CKDATE&lt;=G$79)*(M_CAT=$B87)*ISNUMBER(M_CKDATA)*M_INTYPE)+SUMPRODUCT((B_CKDATE&gt;F$79)*(B_CKDATE&lt;=G$79)*(B_CAT=$B87)*ISNUMBER(B_CKDATA)*B_INTYPE)+SUMPRODUCT((C_CKDATE&gt;F$79)*(C_CKDATE&lt;=G$79)*(C_CAT=$B87)*ISNUMBER(C_CKDATA)*C_INTYPE)),""),"")</f>
        <v/>
      </c>
      <c r="H87" s="302" t="str">
        <f>IF(ISNUMBER(H$78),IFERROR((SUMPRODUCT((P_CKDATE&gt;G$79)*(P_CKDATE&lt;=H$79)*(P_CAT=$B87)*ISNUMBER(P_CKDATA)*P_INTYPE,P_CKDATA)+SUMPRODUCT((W_CKDATE&gt;G$79)*(W_CKDATE&lt;=H$79)*(W_CAT=$B87)*ISNUMBER(W_CKDATA)*W_INTYPE,W_CKDATA)+SUMPRODUCT((M_CKDATE&gt;G$79)*(M_CKDATE&lt;=H$79)*(M_CAT=$B87)*ISNUMBER(M_CKDATA)*M_INTYPE,M_CKDATA)+SUMPRODUCT((B_CKDATE&gt;G$79)*(B_CKDATE&lt;=H$79)*(B_CAT=$B87)*ISNUMBER(B_CKDATA)*B_INTYPE,B_CKDATA)+SUMPRODUCT((C_CKDATE&gt;G$79)*(C_CKDATE&lt;=H$79)*(C_CAT=$B87)*ISNUMBER(C_CKDATA)*C_INTYPE,C_CKDATA))/(SUMPRODUCT((P_CKDATE&gt;G$79)*(P_CKDATE&lt;=H$79)*(P_CAT=$B87)*ISNUMBER(P_CKDATA)*P_INTYPE)+SUMPRODUCT((W_CKDATE&gt;G$79)*(W_CKDATE&lt;=H$79)*(W_CAT=$B87)*ISNUMBER(W_CKDATA)*W_INTYPE)+SUMPRODUCT((M_CKDATE&gt;G$79)*(M_CKDATE&lt;=H$79)*(M_CAT=$B87)*ISNUMBER(M_CKDATA)*M_INTYPE)+SUMPRODUCT((B_CKDATE&gt;G$79)*(B_CKDATE&lt;=H$79)*(B_CAT=$B87)*ISNUMBER(B_CKDATA)*B_INTYPE)+SUMPRODUCT((C_CKDATE&gt;G$79)*(C_CKDATE&lt;=H$79)*(C_CAT=$B87)*ISNUMBER(C_CKDATA)*C_INTYPE)),""),"")</f>
        <v/>
      </c>
      <c r="I87" s="302" t="str">
        <f>IF(ISNUMBER(I$78),IFERROR((SUMPRODUCT((P_CKDATE&gt;H$79)*(P_CKDATE&lt;=I$79)*(P_CAT=$B87)*ISNUMBER(P_CKDATA)*P_INTYPE,P_CKDATA)+SUMPRODUCT((W_CKDATE&gt;H$79)*(W_CKDATE&lt;=I$79)*(W_CAT=$B87)*ISNUMBER(W_CKDATA)*W_INTYPE,W_CKDATA)+SUMPRODUCT((M_CKDATE&gt;H$79)*(M_CKDATE&lt;=I$79)*(M_CAT=$B87)*ISNUMBER(M_CKDATA)*M_INTYPE,M_CKDATA)+SUMPRODUCT((B_CKDATE&gt;H$79)*(B_CKDATE&lt;=I$79)*(B_CAT=$B87)*ISNUMBER(B_CKDATA)*B_INTYPE,B_CKDATA)+SUMPRODUCT((C_CKDATE&gt;H$79)*(C_CKDATE&lt;=I$79)*(C_CAT=$B87)*ISNUMBER(C_CKDATA)*C_INTYPE,C_CKDATA))/(SUMPRODUCT((P_CKDATE&gt;H$79)*(P_CKDATE&lt;=I$79)*(P_CAT=$B87)*ISNUMBER(P_CKDATA)*P_INTYPE)+SUMPRODUCT((W_CKDATE&gt;H$79)*(W_CKDATE&lt;=I$79)*(W_CAT=$B87)*ISNUMBER(W_CKDATA)*W_INTYPE)+SUMPRODUCT((M_CKDATE&gt;H$79)*(M_CKDATE&lt;=I$79)*(M_CAT=$B87)*ISNUMBER(M_CKDATA)*M_INTYPE)+SUMPRODUCT((B_CKDATE&gt;H$79)*(B_CKDATE&lt;=I$79)*(B_CAT=$B87)*ISNUMBER(B_CKDATA)*B_INTYPE)+SUMPRODUCT((C_CKDATE&gt;H$79)*(C_CKDATE&lt;=I$79)*(C_CAT=$B87)*ISNUMBER(C_CKDATA)*C_INTYPE)),""),"")</f>
        <v/>
      </c>
      <c r="J87" s="302" t="str">
        <f>IF(ISNUMBER(J$78),IFERROR((SUMPRODUCT((P_CKDATE&gt;I$79)*(P_CKDATE&lt;=J$79)*(P_CAT=$B87)*ISNUMBER(P_CKDATA)*P_INTYPE,P_CKDATA)+SUMPRODUCT((W_CKDATE&gt;I$79)*(W_CKDATE&lt;=J$79)*(W_CAT=$B87)*ISNUMBER(W_CKDATA)*W_INTYPE,W_CKDATA)+SUMPRODUCT((M_CKDATE&gt;I$79)*(M_CKDATE&lt;=J$79)*(M_CAT=$B87)*ISNUMBER(M_CKDATA)*M_INTYPE,M_CKDATA)+SUMPRODUCT((B_CKDATE&gt;I$79)*(B_CKDATE&lt;=J$79)*(B_CAT=$B87)*ISNUMBER(B_CKDATA)*B_INTYPE,B_CKDATA)+SUMPRODUCT((C_CKDATE&gt;I$79)*(C_CKDATE&lt;=J$79)*(C_CAT=$B87)*ISNUMBER(C_CKDATA)*C_INTYPE,C_CKDATA))/(SUMPRODUCT((P_CKDATE&gt;I$79)*(P_CKDATE&lt;=J$79)*(P_CAT=$B87)*ISNUMBER(P_CKDATA)*P_INTYPE)+SUMPRODUCT((W_CKDATE&gt;I$79)*(W_CKDATE&lt;=J$79)*(W_CAT=$B87)*ISNUMBER(W_CKDATA)*W_INTYPE)+SUMPRODUCT((M_CKDATE&gt;I$79)*(M_CKDATE&lt;=J$79)*(M_CAT=$B87)*ISNUMBER(M_CKDATA)*M_INTYPE)+SUMPRODUCT((B_CKDATE&gt;I$79)*(B_CKDATE&lt;=J$79)*(B_CAT=$B87)*ISNUMBER(B_CKDATA)*B_INTYPE)+SUMPRODUCT((C_CKDATE&gt;I$79)*(C_CKDATE&lt;=J$79)*(C_CAT=$B87)*ISNUMBER(C_CKDATA)*C_INTYPE)),""),"")</f>
        <v/>
      </c>
      <c r="K87" s="302" t="str">
        <f>IF(ISNUMBER(K$78),IFERROR((SUMPRODUCT((P_CKDATE&gt;J$79)*(P_CKDATE&lt;=K$79)*(P_CAT=$B87)*ISNUMBER(P_CKDATA)*P_INTYPE,P_CKDATA)+SUMPRODUCT((W_CKDATE&gt;J$79)*(W_CKDATE&lt;=K$79)*(W_CAT=$B87)*ISNUMBER(W_CKDATA)*W_INTYPE,W_CKDATA)+SUMPRODUCT((M_CKDATE&gt;J$79)*(M_CKDATE&lt;=K$79)*(M_CAT=$B87)*ISNUMBER(M_CKDATA)*M_INTYPE,M_CKDATA)+SUMPRODUCT((B_CKDATE&gt;J$79)*(B_CKDATE&lt;=K$79)*(B_CAT=$B87)*ISNUMBER(B_CKDATA)*B_INTYPE,B_CKDATA)+SUMPRODUCT((C_CKDATE&gt;J$79)*(C_CKDATE&lt;=K$79)*(C_CAT=$B87)*ISNUMBER(C_CKDATA)*C_INTYPE,C_CKDATA))/(SUMPRODUCT((P_CKDATE&gt;J$79)*(P_CKDATE&lt;=K$79)*(P_CAT=$B87)*ISNUMBER(P_CKDATA)*P_INTYPE)+SUMPRODUCT((W_CKDATE&gt;J$79)*(W_CKDATE&lt;=K$79)*(W_CAT=$B87)*ISNUMBER(W_CKDATA)*W_INTYPE)+SUMPRODUCT((M_CKDATE&gt;J$79)*(M_CKDATE&lt;=K$79)*(M_CAT=$B87)*ISNUMBER(M_CKDATA)*M_INTYPE)+SUMPRODUCT((B_CKDATE&gt;J$79)*(B_CKDATE&lt;=K$79)*(B_CAT=$B87)*ISNUMBER(B_CKDATA)*B_INTYPE)+SUMPRODUCT((C_CKDATE&gt;J$79)*(C_CKDATE&lt;=K$79)*(C_CAT=$B87)*ISNUMBER(C_CKDATA)*C_INTYPE)),""),"")</f>
        <v/>
      </c>
      <c r="L87" s="302" t="str">
        <f>IF(ISNUMBER(L$78),IFERROR((SUMPRODUCT((P_CKDATE&gt;K$79)*(P_CKDATE&lt;=L$79)*(P_CAT=$B87)*ISNUMBER(P_CKDATA)*P_INTYPE,P_CKDATA)+SUMPRODUCT((W_CKDATE&gt;K$79)*(W_CKDATE&lt;=L$79)*(W_CAT=$B87)*ISNUMBER(W_CKDATA)*W_INTYPE,W_CKDATA)+SUMPRODUCT((M_CKDATE&gt;K$79)*(M_CKDATE&lt;=L$79)*(M_CAT=$B87)*ISNUMBER(M_CKDATA)*M_INTYPE,M_CKDATA)+SUMPRODUCT((B_CKDATE&gt;K$79)*(B_CKDATE&lt;=L$79)*(B_CAT=$B87)*ISNUMBER(B_CKDATA)*B_INTYPE,B_CKDATA)+SUMPRODUCT((C_CKDATE&gt;K$79)*(C_CKDATE&lt;=L$79)*(C_CAT=$B87)*ISNUMBER(C_CKDATA)*C_INTYPE,C_CKDATA))/(SUMPRODUCT((P_CKDATE&gt;K$79)*(P_CKDATE&lt;=L$79)*(P_CAT=$B87)*ISNUMBER(P_CKDATA)*P_INTYPE)+SUMPRODUCT((W_CKDATE&gt;K$79)*(W_CKDATE&lt;=L$79)*(W_CAT=$B87)*ISNUMBER(W_CKDATA)*W_INTYPE)+SUMPRODUCT((M_CKDATE&gt;K$79)*(M_CKDATE&lt;=L$79)*(M_CAT=$B87)*ISNUMBER(M_CKDATA)*M_INTYPE)+SUMPRODUCT((B_CKDATE&gt;K$79)*(B_CKDATE&lt;=L$79)*(B_CAT=$B87)*ISNUMBER(B_CKDATA)*B_INTYPE)+SUMPRODUCT((C_CKDATE&gt;K$79)*(C_CKDATE&lt;=L$79)*(C_CAT=$B87)*ISNUMBER(C_CKDATA)*C_INTYPE)),""),"")</f>
        <v/>
      </c>
      <c r="M87" s="302" t="str">
        <f>IF(ISNUMBER(M$78),IFERROR((SUMPRODUCT((P_CKDATE&gt;L$79)*(P_CKDATE&lt;=M$79)*(P_CAT=$B87)*ISNUMBER(P_CKDATA)*P_INTYPE,P_CKDATA)+SUMPRODUCT((W_CKDATE&gt;L$79)*(W_CKDATE&lt;=M$79)*(W_CAT=$B87)*ISNUMBER(W_CKDATA)*W_INTYPE,W_CKDATA)+SUMPRODUCT((M_CKDATE&gt;L$79)*(M_CKDATE&lt;=M$79)*(M_CAT=$B87)*ISNUMBER(M_CKDATA)*M_INTYPE,M_CKDATA)+SUMPRODUCT((B_CKDATE&gt;L$79)*(B_CKDATE&lt;=M$79)*(B_CAT=$B87)*ISNUMBER(B_CKDATA)*B_INTYPE,B_CKDATA)+SUMPRODUCT((C_CKDATE&gt;L$79)*(C_CKDATE&lt;=M$79)*(C_CAT=$B87)*ISNUMBER(C_CKDATA)*C_INTYPE,C_CKDATA))/(SUMPRODUCT((P_CKDATE&gt;L$79)*(P_CKDATE&lt;=M$79)*(P_CAT=$B87)*ISNUMBER(P_CKDATA)*P_INTYPE)+SUMPRODUCT((W_CKDATE&gt;L$79)*(W_CKDATE&lt;=M$79)*(W_CAT=$B87)*ISNUMBER(W_CKDATA)*W_INTYPE)+SUMPRODUCT((M_CKDATE&gt;L$79)*(M_CKDATE&lt;=M$79)*(M_CAT=$B87)*ISNUMBER(M_CKDATA)*M_INTYPE)+SUMPRODUCT((B_CKDATE&gt;L$79)*(B_CKDATE&lt;=M$79)*(B_CAT=$B87)*ISNUMBER(B_CKDATA)*B_INTYPE)+SUMPRODUCT((C_CKDATE&gt;L$79)*(C_CKDATE&lt;=M$79)*(C_CAT=$B87)*ISNUMBER(C_CKDATA)*C_INTYPE)),""),"")</f>
        <v/>
      </c>
      <c r="N87" s="288"/>
      <c r="O87" s="288"/>
      <c r="P87" s="288"/>
      <c r="Q87" s="288"/>
      <c r="R87" s="288"/>
      <c r="S87" s="288"/>
      <c r="T87" s="288"/>
      <c r="U87" s="288"/>
      <c r="V87" s="288"/>
      <c r="W87" s="288"/>
      <c r="X87" s="288"/>
      <c r="Y87" s="288"/>
      <c r="Z87" s="288"/>
      <c r="AA87" s="288"/>
      <c r="AB87" s="288"/>
      <c r="AC87" s="288"/>
      <c r="AD87" s="288"/>
      <c r="AE87" s="288"/>
      <c r="AF87" s="288"/>
    </row>
    <row r="88" spans="1:32" ht="15" customHeight="1" x14ac:dyDescent="0.2">
      <c r="B88" s="465" t="s">
        <v>650</v>
      </c>
      <c r="C88" s="466"/>
      <c r="D88" s="302" t="str">
        <f>IFERROR((SUMPRODUCT(ISNUMBER(P_CKDATE)*(P_CAT=$B88)*ISNUMBER(P_CKDATA)*P_INTYPE,P_CKDATA)+SUMPRODUCT(ISNUMBER(W_CKDATE)*(W_CAT=$B88)*ISNUMBER(W_CKDATA)*W_INTYPE,W_CKDATA)+SUMPRODUCT(ISNUMBER(M_CKDATE)*(M_CAT=$B88)*ISNUMBER(M_CKDATA)*M_INTYPE,M_CKDATA)+SUMPRODUCT(ISNUMBER(B_CKDATE)*(B_CAT=$B88)*ISNUMBER(B_CKDATA)*B_INTYPE,B_CKDATA)+SUMPRODUCT(ISNUMBER(C_CKDATE)*(C_CAT=$B88)*ISNUMBER(C_CKDATA)*C_INTYPE,C_CKDATA))/(SUMPRODUCT(ISNUMBER(P_CKDATE)*(P_CAT=$B88)*ISNUMBER(P_CKDATA)*P_INTYPE)+SUMPRODUCT(ISNUMBER(W_CKDATE)*(W_CAT=$B88)*ISNUMBER(W_CKDATA)*W_INTYPE)+SUMPRODUCT(ISNUMBER(M_CKDATE)*(M_CAT=$B88)*ISNUMBER(M_CKDATA)*M_INTYPE)+SUMPRODUCT(ISNUMBER(B_CKDATE)*(B_CAT=$B88)*ISNUMBER(B_CKDATA)*B_INTYPE)+SUMPRODUCT(ISNUMBER(C_CKDATE)*(C_CAT=$B88)*ISNUMBER(C_CKDATA)*C_INTYPE)),"")</f>
        <v/>
      </c>
      <c r="E88" s="302" t="str">
        <f>IF(ISNUMBER(E$78),IFERROR((SUMPRODUCT((P_CKDATE&gt;D$79)*(P_CKDATE&lt;=E$79)*(P_CAT=$B88)*ISNUMBER(P_CKDATA)*P_INTYPE,P_CKDATA)+SUMPRODUCT((W_CKDATE&gt;D$79)*(W_CKDATE&lt;=E$79)*(W_CAT=$B88)*ISNUMBER(W_CKDATA)*W_INTYPE,W_CKDATA)+SUMPRODUCT((M_CKDATE&gt;D$79)*(M_CKDATE&lt;=E$79)*(M_CAT=$B88)*ISNUMBER(M_CKDATA)*M_INTYPE,M_CKDATA)+SUMPRODUCT((B_CKDATE&gt;D$79)*(B_CKDATE&lt;=E$79)*(B_CAT=$B88)*ISNUMBER(B_CKDATA)*B_INTYPE,B_CKDATA)+SUMPRODUCT((C_CKDATE&gt;D$79)*(C_CKDATE&lt;=E$79)*(C_CAT=$B88)*ISNUMBER(C_CKDATA)*C_INTYPE,C_CKDATA))/(SUMPRODUCT((P_CKDATE&gt;D$79)*(P_CKDATE&lt;=E$79)*(P_CAT=$B88)*ISNUMBER(P_CKDATA)*P_INTYPE)+SUMPRODUCT((W_CKDATE&gt;D$79)*(W_CKDATE&lt;=E$79)*(W_CAT=$B88)*ISNUMBER(W_CKDATA)*W_INTYPE)+SUMPRODUCT((M_CKDATE&gt;D$79)*(M_CKDATE&lt;=E$79)*(M_CAT=$B88)*ISNUMBER(M_CKDATA)*M_INTYPE)+SUMPRODUCT((B_CKDATE&gt;D$79)*(B_CKDATE&lt;=E$79)*(B_CAT=$B88)*ISNUMBER(B_CKDATA)*B_INTYPE)+SUMPRODUCT((C_CKDATE&gt;D$79)*(C_CKDATE&lt;=E$79)*(C_CAT=$B88)*ISNUMBER(C_CKDATA)*C_INTYPE)),""),"")</f>
        <v/>
      </c>
      <c r="F88" s="302" t="str">
        <f>IF(ISNUMBER(F$78),IFERROR((SUMPRODUCT((P_CKDATE&gt;E$79)*(P_CKDATE&lt;=F$79)*(P_CAT=$B88)*ISNUMBER(P_CKDATA)*P_INTYPE,P_CKDATA)+SUMPRODUCT((W_CKDATE&gt;E$79)*(W_CKDATE&lt;=F$79)*(W_CAT=$B88)*ISNUMBER(W_CKDATA)*W_INTYPE,W_CKDATA)+SUMPRODUCT((M_CKDATE&gt;E$79)*(M_CKDATE&lt;=F$79)*(M_CAT=$B88)*ISNUMBER(M_CKDATA)*M_INTYPE,M_CKDATA)+SUMPRODUCT((B_CKDATE&gt;E$79)*(B_CKDATE&lt;=F$79)*(B_CAT=$B88)*ISNUMBER(B_CKDATA)*B_INTYPE,B_CKDATA)+SUMPRODUCT((C_CKDATE&gt;E$79)*(C_CKDATE&lt;=F$79)*(C_CAT=$B88)*ISNUMBER(C_CKDATA)*C_INTYPE,C_CKDATA))/(SUMPRODUCT((P_CKDATE&gt;E$79)*(P_CKDATE&lt;=F$79)*(P_CAT=$B88)*ISNUMBER(P_CKDATA)*P_INTYPE)+SUMPRODUCT((W_CKDATE&gt;E$79)*(W_CKDATE&lt;=F$79)*(W_CAT=$B88)*ISNUMBER(W_CKDATA)*W_INTYPE)+SUMPRODUCT((M_CKDATE&gt;E$79)*(M_CKDATE&lt;=F$79)*(M_CAT=$B88)*ISNUMBER(M_CKDATA)*M_INTYPE)+SUMPRODUCT((B_CKDATE&gt;E$79)*(B_CKDATE&lt;=F$79)*(B_CAT=$B88)*ISNUMBER(B_CKDATA)*B_INTYPE)+SUMPRODUCT((C_CKDATE&gt;E$79)*(C_CKDATE&lt;=F$79)*(C_CAT=$B88)*ISNUMBER(C_CKDATA)*C_INTYPE)),""),"")</f>
        <v/>
      </c>
      <c r="G88" s="302" t="str">
        <f>IF(ISNUMBER(G$78),IFERROR((SUMPRODUCT((P_CKDATE&gt;F$79)*(P_CKDATE&lt;=G$79)*(P_CAT=$B88)*ISNUMBER(P_CKDATA)*P_INTYPE,P_CKDATA)+SUMPRODUCT((W_CKDATE&gt;F$79)*(W_CKDATE&lt;=G$79)*(W_CAT=$B88)*ISNUMBER(W_CKDATA)*W_INTYPE,W_CKDATA)+SUMPRODUCT((M_CKDATE&gt;F$79)*(M_CKDATE&lt;=G$79)*(M_CAT=$B88)*ISNUMBER(M_CKDATA)*M_INTYPE,M_CKDATA)+SUMPRODUCT((B_CKDATE&gt;F$79)*(B_CKDATE&lt;=G$79)*(B_CAT=$B88)*ISNUMBER(B_CKDATA)*B_INTYPE,B_CKDATA)+SUMPRODUCT((C_CKDATE&gt;F$79)*(C_CKDATE&lt;=G$79)*(C_CAT=$B88)*ISNUMBER(C_CKDATA)*C_INTYPE,C_CKDATA))/(SUMPRODUCT((P_CKDATE&gt;F$79)*(P_CKDATE&lt;=G$79)*(P_CAT=$B88)*ISNUMBER(P_CKDATA)*P_INTYPE)+SUMPRODUCT((W_CKDATE&gt;F$79)*(W_CKDATE&lt;=G$79)*(W_CAT=$B88)*ISNUMBER(W_CKDATA)*W_INTYPE)+SUMPRODUCT((M_CKDATE&gt;F$79)*(M_CKDATE&lt;=G$79)*(M_CAT=$B88)*ISNUMBER(M_CKDATA)*M_INTYPE)+SUMPRODUCT((B_CKDATE&gt;F$79)*(B_CKDATE&lt;=G$79)*(B_CAT=$B88)*ISNUMBER(B_CKDATA)*B_INTYPE)+SUMPRODUCT((C_CKDATE&gt;F$79)*(C_CKDATE&lt;=G$79)*(C_CAT=$B88)*ISNUMBER(C_CKDATA)*C_INTYPE)),""),"")</f>
        <v/>
      </c>
      <c r="H88" s="302" t="str">
        <f>IF(ISNUMBER(H$78),IFERROR((SUMPRODUCT((P_CKDATE&gt;G$79)*(P_CKDATE&lt;=H$79)*(P_CAT=$B88)*ISNUMBER(P_CKDATA)*P_INTYPE,P_CKDATA)+SUMPRODUCT((W_CKDATE&gt;G$79)*(W_CKDATE&lt;=H$79)*(W_CAT=$B88)*ISNUMBER(W_CKDATA)*W_INTYPE,W_CKDATA)+SUMPRODUCT((M_CKDATE&gt;G$79)*(M_CKDATE&lt;=H$79)*(M_CAT=$B88)*ISNUMBER(M_CKDATA)*M_INTYPE,M_CKDATA)+SUMPRODUCT((B_CKDATE&gt;G$79)*(B_CKDATE&lt;=H$79)*(B_CAT=$B88)*ISNUMBER(B_CKDATA)*B_INTYPE,B_CKDATA)+SUMPRODUCT((C_CKDATE&gt;G$79)*(C_CKDATE&lt;=H$79)*(C_CAT=$B88)*ISNUMBER(C_CKDATA)*C_INTYPE,C_CKDATA))/(SUMPRODUCT((P_CKDATE&gt;G$79)*(P_CKDATE&lt;=H$79)*(P_CAT=$B88)*ISNUMBER(P_CKDATA)*P_INTYPE)+SUMPRODUCT((W_CKDATE&gt;G$79)*(W_CKDATE&lt;=H$79)*(W_CAT=$B88)*ISNUMBER(W_CKDATA)*W_INTYPE)+SUMPRODUCT((M_CKDATE&gt;G$79)*(M_CKDATE&lt;=H$79)*(M_CAT=$B88)*ISNUMBER(M_CKDATA)*M_INTYPE)+SUMPRODUCT((B_CKDATE&gt;G$79)*(B_CKDATE&lt;=H$79)*(B_CAT=$B88)*ISNUMBER(B_CKDATA)*B_INTYPE)+SUMPRODUCT((C_CKDATE&gt;G$79)*(C_CKDATE&lt;=H$79)*(C_CAT=$B88)*ISNUMBER(C_CKDATA)*C_INTYPE)),""),"")</f>
        <v/>
      </c>
      <c r="I88" s="302" t="str">
        <f>IF(ISNUMBER(I$78),IFERROR((SUMPRODUCT((P_CKDATE&gt;H$79)*(P_CKDATE&lt;=I$79)*(P_CAT=$B88)*ISNUMBER(P_CKDATA)*P_INTYPE,P_CKDATA)+SUMPRODUCT((W_CKDATE&gt;H$79)*(W_CKDATE&lt;=I$79)*(W_CAT=$B88)*ISNUMBER(W_CKDATA)*W_INTYPE,W_CKDATA)+SUMPRODUCT((M_CKDATE&gt;H$79)*(M_CKDATE&lt;=I$79)*(M_CAT=$B88)*ISNUMBER(M_CKDATA)*M_INTYPE,M_CKDATA)+SUMPRODUCT((B_CKDATE&gt;H$79)*(B_CKDATE&lt;=I$79)*(B_CAT=$B88)*ISNUMBER(B_CKDATA)*B_INTYPE,B_CKDATA)+SUMPRODUCT((C_CKDATE&gt;H$79)*(C_CKDATE&lt;=I$79)*(C_CAT=$B88)*ISNUMBER(C_CKDATA)*C_INTYPE,C_CKDATA))/(SUMPRODUCT((P_CKDATE&gt;H$79)*(P_CKDATE&lt;=I$79)*(P_CAT=$B88)*ISNUMBER(P_CKDATA)*P_INTYPE)+SUMPRODUCT((W_CKDATE&gt;H$79)*(W_CKDATE&lt;=I$79)*(W_CAT=$B88)*ISNUMBER(W_CKDATA)*W_INTYPE)+SUMPRODUCT((M_CKDATE&gt;H$79)*(M_CKDATE&lt;=I$79)*(M_CAT=$B88)*ISNUMBER(M_CKDATA)*M_INTYPE)+SUMPRODUCT((B_CKDATE&gt;H$79)*(B_CKDATE&lt;=I$79)*(B_CAT=$B88)*ISNUMBER(B_CKDATA)*B_INTYPE)+SUMPRODUCT((C_CKDATE&gt;H$79)*(C_CKDATE&lt;=I$79)*(C_CAT=$B88)*ISNUMBER(C_CKDATA)*C_INTYPE)),""),"")</f>
        <v/>
      </c>
      <c r="J88" s="302" t="str">
        <f>IF(ISNUMBER(J$78),IFERROR((SUMPRODUCT((P_CKDATE&gt;I$79)*(P_CKDATE&lt;=J$79)*(P_CAT=$B88)*ISNUMBER(P_CKDATA)*P_INTYPE,P_CKDATA)+SUMPRODUCT((W_CKDATE&gt;I$79)*(W_CKDATE&lt;=J$79)*(W_CAT=$B88)*ISNUMBER(W_CKDATA)*W_INTYPE,W_CKDATA)+SUMPRODUCT((M_CKDATE&gt;I$79)*(M_CKDATE&lt;=J$79)*(M_CAT=$B88)*ISNUMBER(M_CKDATA)*M_INTYPE,M_CKDATA)+SUMPRODUCT((B_CKDATE&gt;I$79)*(B_CKDATE&lt;=J$79)*(B_CAT=$B88)*ISNUMBER(B_CKDATA)*B_INTYPE,B_CKDATA)+SUMPRODUCT((C_CKDATE&gt;I$79)*(C_CKDATE&lt;=J$79)*(C_CAT=$B88)*ISNUMBER(C_CKDATA)*C_INTYPE,C_CKDATA))/(SUMPRODUCT((P_CKDATE&gt;I$79)*(P_CKDATE&lt;=J$79)*(P_CAT=$B88)*ISNUMBER(P_CKDATA)*P_INTYPE)+SUMPRODUCT((W_CKDATE&gt;I$79)*(W_CKDATE&lt;=J$79)*(W_CAT=$B88)*ISNUMBER(W_CKDATA)*W_INTYPE)+SUMPRODUCT((M_CKDATE&gt;I$79)*(M_CKDATE&lt;=J$79)*(M_CAT=$B88)*ISNUMBER(M_CKDATA)*M_INTYPE)+SUMPRODUCT((B_CKDATE&gt;I$79)*(B_CKDATE&lt;=J$79)*(B_CAT=$B88)*ISNUMBER(B_CKDATA)*B_INTYPE)+SUMPRODUCT((C_CKDATE&gt;I$79)*(C_CKDATE&lt;=J$79)*(C_CAT=$B88)*ISNUMBER(C_CKDATA)*C_INTYPE)),""),"")</f>
        <v/>
      </c>
      <c r="K88" s="302" t="str">
        <f>IF(ISNUMBER(K$78),IFERROR((SUMPRODUCT((P_CKDATE&gt;J$79)*(P_CKDATE&lt;=K$79)*(P_CAT=$B88)*ISNUMBER(P_CKDATA)*P_INTYPE,P_CKDATA)+SUMPRODUCT((W_CKDATE&gt;J$79)*(W_CKDATE&lt;=K$79)*(W_CAT=$B88)*ISNUMBER(W_CKDATA)*W_INTYPE,W_CKDATA)+SUMPRODUCT((M_CKDATE&gt;J$79)*(M_CKDATE&lt;=K$79)*(M_CAT=$B88)*ISNUMBER(M_CKDATA)*M_INTYPE,M_CKDATA)+SUMPRODUCT((B_CKDATE&gt;J$79)*(B_CKDATE&lt;=K$79)*(B_CAT=$B88)*ISNUMBER(B_CKDATA)*B_INTYPE,B_CKDATA)+SUMPRODUCT((C_CKDATE&gt;J$79)*(C_CKDATE&lt;=K$79)*(C_CAT=$B88)*ISNUMBER(C_CKDATA)*C_INTYPE,C_CKDATA))/(SUMPRODUCT((P_CKDATE&gt;J$79)*(P_CKDATE&lt;=K$79)*(P_CAT=$B88)*ISNUMBER(P_CKDATA)*P_INTYPE)+SUMPRODUCT((W_CKDATE&gt;J$79)*(W_CKDATE&lt;=K$79)*(W_CAT=$B88)*ISNUMBER(W_CKDATA)*W_INTYPE)+SUMPRODUCT((M_CKDATE&gt;J$79)*(M_CKDATE&lt;=K$79)*(M_CAT=$B88)*ISNUMBER(M_CKDATA)*M_INTYPE)+SUMPRODUCT((B_CKDATE&gt;J$79)*(B_CKDATE&lt;=K$79)*(B_CAT=$B88)*ISNUMBER(B_CKDATA)*B_INTYPE)+SUMPRODUCT((C_CKDATE&gt;J$79)*(C_CKDATE&lt;=K$79)*(C_CAT=$B88)*ISNUMBER(C_CKDATA)*C_INTYPE)),""),"")</f>
        <v/>
      </c>
      <c r="L88" s="302" t="str">
        <f>IF(ISNUMBER(L$78),IFERROR((SUMPRODUCT((P_CKDATE&gt;K$79)*(P_CKDATE&lt;=L$79)*(P_CAT=$B88)*ISNUMBER(P_CKDATA)*P_INTYPE,P_CKDATA)+SUMPRODUCT((W_CKDATE&gt;K$79)*(W_CKDATE&lt;=L$79)*(W_CAT=$B88)*ISNUMBER(W_CKDATA)*W_INTYPE,W_CKDATA)+SUMPRODUCT((M_CKDATE&gt;K$79)*(M_CKDATE&lt;=L$79)*(M_CAT=$B88)*ISNUMBER(M_CKDATA)*M_INTYPE,M_CKDATA)+SUMPRODUCT((B_CKDATE&gt;K$79)*(B_CKDATE&lt;=L$79)*(B_CAT=$B88)*ISNUMBER(B_CKDATA)*B_INTYPE,B_CKDATA)+SUMPRODUCT((C_CKDATE&gt;K$79)*(C_CKDATE&lt;=L$79)*(C_CAT=$B88)*ISNUMBER(C_CKDATA)*C_INTYPE,C_CKDATA))/(SUMPRODUCT((P_CKDATE&gt;K$79)*(P_CKDATE&lt;=L$79)*(P_CAT=$B88)*ISNUMBER(P_CKDATA)*P_INTYPE)+SUMPRODUCT((W_CKDATE&gt;K$79)*(W_CKDATE&lt;=L$79)*(W_CAT=$B88)*ISNUMBER(W_CKDATA)*W_INTYPE)+SUMPRODUCT((M_CKDATE&gt;K$79)*(M_CKDATE&lt;=L$79)*(M_CAT=$B88)*ISNUMBER(M_CKDATA)*M_INTYPE)+SUMPRODUCT((B_CKDATE&gt;K$79)*(B_CKDATE&lt;=L$79)*(B_CAT=$B88)*ISNUMBER(B_CKDATA)*B_INTYPE)+SUMPRODUCT((C_CKDATE&gt;K$79)*(C_CKDATE&lt;=L$79)*(C_CAT=$B88)*ISNUMBER(C_CKDATA)*C_INTYPE)),""),"")</f>
        <v/>
      </c>
      <c r="M88" s="302" t="str">
        <f>IF(ISNUMBER(M$78),IFERROR((SUMPRODUCT((P_CKDATE&gt;L$79)*(P_CKDATE&lt;=M$79)*(P_CAT=$B88)*ISNUMBER(P_CKDATA)*P_INTYPE,P_CKDATA)+SUMPRODUCT((W_CKDATE&gt;L$79)*(W_CKDATE&lt;=M$79)*(W_CAT=$B88)*ISNUMBER(W_CKDATA)*W_INTYPE,W_CKDATA)+SUMPRODUCT((M_CKDATE&gt;L$79)*(M_CKDATE&lt;=M$79)*(M_CAT=$B88)*ISNUMBER(M_CKDATA)*M_INTYPE,M_CKDATA)+SUMPRODUCT((B_CKDATE&gt;L$79)*(B_CKDATE&lt;=M$79)*(B_CAT=$B88)*ISNUMBER(B_CKDATA)*B_INTYPE,B_CKDATA)+SUMPRODUCT((C_CKDATE&gt;L$79)*(C_CKDATE&lt;=M$79)*(C_CAT=$B88)*ISNUMBER(C_CKDATA)*C_INTYPE,C_CKDATA))/(SUMPRODUCT((P_CKDATE&gt;L$79)*(P_CKDATE&lt;=M$79)*(P_CAT=$B88)*ISNUMBER(P_CKDATA)*P_INTYPE)+SUMPRODUCT((W_CKDATE&gt;L$79)*(W_CKDATE&lt;=M$79)*(W_CAT=$B88)*ISNUMBER(W_CKDATA)*W_INTYPE)+SUMPRODUCT((M_CKDATE&gt;L$79)*(M_CKDATE&lt;=M$79)*(M_CAT=$B88)*ISNUMBER(M_CKDATA)*M_INTYPE)+SUMPRODUCT((B_CKDATE&gt;L$79)*(B_CKDATE&lt;=M$79)*(B_CAT=$B88)*ISNUMBER(B_CKDATA)*B_INTYPE)+SUMPRODUCT((C_CKDATE&gt;L$79)*(C_CKDATE&lt;=M$79)*(C_CAT=$B88)*ISNUMBER(C_CKDATA)*C_INTYPE)),""),"")</f>
        <v/>
      </c>
      <c r="N88" s="288"/>
      <c r="O88" s="288"/>
      <c r="P88" s="288"/>
      <c r="Q88" s="288"/>
      <c r="R88" s="288"/>
      <c r="S88" s="288"/>
      <c r="T88" s="288"/>
      <c r="U88" s="288"/>
      <c r="V88" s="288"/>
      <c r="W88" s="288"/>
      <c r="X88" s="288"/>
      <c r="Y88" s="288"/>
      <c r="Z88" s="288"/>
      <c r="AA88" s="288"/>
      <c r="AB88" s="288"/>
      <c r="AC88" s="288"/>
      <c r="AD88" s="288"/>
      <c r="AE88" s="288"/>
      <c r="AF88" s="288"/>
    </row>
    <row r="89" spans="1:32" ht="15" customHeight="1" x14ac:dyDescent="0.2">
      <c r="B89" s="465" t="s">
        <v>651</v>
      </c>
      <c r="C89" s="466"/>
      <c r="D89" s="302" t="str">
        <f>IFERROR((SUMPRODUCT(ISNUMBER(P_CKDATE)*(P_CAT=$B89)*ISNUMBER(P_CKDATA)*P_INTYPE,P_CKDATA)+SUMPRODUCT(ISNUMBER(W_CKDATE)*(W_CAT=$B89)*ISNUMBER(W_CKDATA)*W_INTYPE,W_CKDATA)+SUMPRODUCT(ISNUMBER(M_CKDATE)*(M_CAT=$B89)*ISNUMBER(M_CKDATA)*M_INTYPE,M_CKDATA)+SUMPRODUCT(ISNUMBER(B_CKDATE)*(B_CAT=$B89)*ISNUMBER(B_CKDATA)*B_INTYPE,B_CKDATA)+SUMPRODUCT(ISNUMBER(C_CKDATE)*(C_CAT=$B89)*ISNUMBER(C_CKDATA)*C_INTYPE,C_CKDATA))/(SUMPRODUCT(ISNUMBER(P_CKDATE)*(P_CAT=$B89)*ISNUMBER(P_CKDATA)*P_INTYPE)+SUMPRODUCT(ISNUMBER(W_CKDATE)*(W_CAT=$B89)*ISNUMBER(W_CKDATA)*W_INTYPE)+SUMPRODUCT(ISNUMBER(M_CKDATE)*(M_CAT=$B89)*ISNUMBER(M_CKDATA)*M_INTYPE)+SUMPRODUCT(ISNUMBER(B_CKDATE)*(B_CAT=$B89)*ISNUMBER(B_CKDATA)*B_INTYPE)+SUMPRODUCT(ISNUMBER(C_CKDATE)*(C_CAT=$B89)*ISNUMBER(C_CKDATA)*C_INTYPE)),"")</f>
        <v/>
      </c>
      <c r="E89" s="302" t="str">
        <f>IF(ISNUMBER(E$78),IFERROR((SUMPRODUCT((P_CKDATE&gt;D$79)*(P_CKDATE&lt;=E$79)*(P_CAT=$B89)*ISNUMBER(P_CKDATA)*P_INTYPE,P_CKDATA)+SUMPRODUCT((W_CKDATE&gt;D$79)*(W_CKDATE&lt;=E$79)*(W_CAT=$B89)*ISNUMBER(W_CKDATA)*W_INTYPE,W_CKDATA)+SUMPRODUCT((M_CKDATE&gt;D$79)*(M_CKDATE&lt;=E$79)*(M_CAT=$B89)*ISNUMBER(M_CKDATA)*M_INTYPE,M_CKDATA)+SUMPRODUCT((B_CKDATE&gt;D$79)*(B_CKDATE&lt;=E$79)*(B_CAT=$B89)*ISNUMBER(B_CKDATA)*B_INTYPE,B_CKDATA)+SUMPRODUCT((C_CKDATE&gt;D$79)*(C_CKDATE&lt;=E$79)*(C_CAT=$B89)*ISNUMBER(C_CKDATA)*C_INTYPE,C_CKDATA))/(SUMPRODUCT((P_CKDATE&gt;D$79)*(P_CKDATE&lt;=E$79)*(P_CAT=$B89)*ISNUMBER(P_CKDATA)*P_INTYPE)+SUMPRODUCT((W_CKDATE&gt;D$79)*(W_CKDATE&lt;=E$79)*(W_CAT=$B89)*ISNUMBER(W_CKDATA)*W_INTYPE)+SUMPRODUCT((M_CKDATE&gt;D$79)*(M_CKDATE&lt;=E$79)*(M_CAT=$B89)*ISNUMBER(M_CKDATA)*M_INTYPE)+SUMPRODUCT((B_CKDATE&gt;D$79)*(B_CKDATE&lt;=E$79)*(B_CAT=$B89)*ISNUMBER(B_CKDATA)*B_INTYPE)+SUMPRODUCT((C_CKDATE&gt;D$79)*(C_CKDATE&lt;=E$79)*(C_CAT=$B89)*ISNUMBER(C_CKDATA)*C_INTYPE)),""),"")</f>
        <v/>
      </c>
      <c r="F89" s="302" t="str">
        <f>IF(ISNUMBER(F$78),IFERROR((SUMPRODUCT((P_CKDATE&gt;E$79)*(P_CKDATE&lt;=F$79)*(P_CAT=$B89)*ISNUMBER(P_CKDATA)*P_INTYPE,P_CKDATA)+SUMPRODUCT((W_CKDATE&gt;E$79)*(W_CKDATE&lt;=F$79)*(W_CAT=$B89)*ISNUMBER(W_CKDATA)*W_INTYPE,W_CKDATA)+SUMPRODUCT((M_CKDATE&gt;E$79)*(M_CKDATE&lt;=F$79)*(M_CAT=$B89)*ISNUMBER(M_CKDATA)*M_INTYPE,M_CKDATA)+SUMPRODUCT((B_CKDATE&gt;E$79)*(B_CKDATE&lt;=F$79)*(B_CAT=$B89)*ISNUMBER(B_CKDATA)*B_INTYPE,B_CKDATA)+SUMPRODUCT((C_CKDATE&gt;E$79)*(C_CKDATE&lt;=F$79)*(C_CAT=$B89)*ISNUMBER(C_CKDATA)*C_INTYPE,C_CKDATA))/(SUMPRODUCT((P_CKDATE&gt;E$79)*(P_CKDATE&lt;=F$79)*(P_CAT=$B89)*ISNUMBER(P_CKDATA)*P_INTYPE)+SUMPRODUCT((W_CKDATE&gt;E$79)*(W_CKDATE&lt;=F$79)*(W_CAT=$B89)*ISNUMBER(W_CKDATA)*W_INTYPE)+SUMPRODUCT((M_CKDATE&gt;E$79)*(M_CKDATE&lt;=F$79)*(M_CAT=$B89)*ISNUMBER(M_CKDATA)*M_INTYPE)+SUMPRODUCT((B_CKDATE&gt;E$79)*(B_CKDATE&lt;=F$79)*(B_CAT=$B89)*ISNUMBER(B_CKDATA)*B_INTYPE)+SUMPRODUCT((C_CKDATE&gt;E$79)*(C_CKDATE&lt;=F$79)*(C_CAT=$B89)*ISNUMBER(C_CKDATA)*C_INTYPE)),""),"")</f>
        <v/>
      </c>
      <c r="G89" s="302" t="str">
        <f>IF(ISNUMBER(G$78),IFERROR((SUMPRODUCT((P_CKDATE&gt;F$79)*(P_CKDATE&lt;=G$79)*(P_CAT=$B89)*ISNUMBER(P_CKDATA)*P_INTYPE,P_CKDATA)+SUMPRODUCT((W_CKDATE&gt;F$79)*(W_CKDATE&lt;=G$79)*(W_CAT=$B89)*ISNUMBER(W_CKDATA)*W_INTYPE,W_CKDATA)+SUMPRODUCT((M_CKDATE&gt;F$79)*(M_CKDATE&lt;=G$79)*(M_CAT=$B89)*ISNUMBER(M_CKDATA)*M_INTYPE,M_CKDATA)+SUMPRODUCT((B_CKDATE&gt;F$79)*(B_CKDATE&lt;=G$79)*(B_CAT=$B89)*ISNUMBER(B_CKDATA)*B_INTYPE,B_CKDATA)+SUMPRODUCT((C_CKDATE&gt;F$79)*(C_CKDATE&lt;=G$79)*(C_CAT=$B89)*ISNUMBER(C_CKDATA)*C_INTYPE,C_CKDATA))/(SUMPRODUCT((P_CKDATE&gt;F$79)*(P_CKDATE&lt;=G$79)*(P_CAT=$B89)*ISNUMBER(P_CKDATA)*P_INTYPE)+SUMPRODUCT((W_CKDATE&gt;F$79)*(W_CKDATE&lt;=G$79)*(W_CAT=$B89)*ISNUMBER(W_CKDATA)*W_INTYPE)+SUMPRODUCT((M_CKDATE&gt;F$79)*(M_CKDATE&lt;=G$79)*(M_CAT=$B89)*ISNUMBER(M_CKDATA)*M_INTYPE)+SUMPRODUCT((B_CKDATE&gt;F$79)*(B_CKDATE&lt;=G$79)*(B_CAT=$B89)*ISNUMBER(B_CKDATA)*B_INTYPE)+SUMPRODUCT((C_CKDATE&gt;F$79)*(C_CKDATE&lt;=G$79)*(C_CAT=$B89)*ISNUMBER(C_CKDATA)*C_INTYPE)),""),"")</f>
        <v/>
      </c>
      <c r="H89" s="302" t="str">
        <f>IF(ISNUMBER(H$78),IFERROR((SUMPRODUCT((P_CKDATE&gt;G$79)*(P_CKDATE&lt;=H$79)*(P_CAT=$B89)*ISNUMBER(P_CKDATA)*P_INTYPE,P_CKDATA)+SUMPRODUCT((W_CKDATE&gt;G$79)*(W_CKDATE&lt;=H$79)*(W_CAT=$B89)*ISNUMBER(W_CKDATA)*W_INTYPE,W_CKDATA)+SUMPRODUCT((M_CKDATE&gt;G$79)*(M_CKDATE&lt;=H$79)*(M_CAT=$B89)*ISNUMBER(M_CKDATA)*M_INTYPE,M_CKDATA)+SUMPRODUCT((B_CKDATE&gt;G$79)*(B_CKDATE&lt;=H$79)*(B_CAT=$B89)*ISNUMBER(B_CKDATA)*B_INTYPE,B_CKDATA)+SUMPRODUCT((C_CKDATE&gt;G$79)*(C_CKDATE&lt;=H$79)*(C_CAT=$B89)*ISNUMBER(C_CKDATA)*C_INTYPE,C_CKDATA))/(SUMPRODUCT((P_CKDATE&gt;G$79)*(P_CKDATE&lt;=H$79)*(P_CAT=$B89)*ISNUMBER(P_CKDATA)*P_INTYPE)+SUMPRODUCT((W_CKDATE&gt;G$79)*(W_CKDATE&lt;=H$79)*(W_CAT=$B89)*ISNUMBER(W_CKDATA)*W_INTYPE)+SUMPRODUCT((M_CKDATE&gt;G$79)*(M_CKDATE&lt;=H$79)*(M_CAT=$B89)*ISNUMBER(M_CKDATA)*M_INTYPE)+SUMPRODUCT((B_CKDATE&gt;G$79)*(B_CKDATE&lt;=H$79)*(B_CAT=$B89)*ISNUMBER(B_CKDATA)*B_INTYPE)+SUMPRODUCT((C_CKDATE&gt;G$79)*(C_CKDATE&lt;=H$79)*(C_CAT=$B89)*ISNUMBER(C_CKDATA)*C_INTYPE)),""),"")</f>
        <v/>
      </c>
      <c r="I89" s="302" t="str">
        <f>IF(ISNUMBER(I$78),IFERROR((SUMPRODUCT((P_CKDATE&gt;H$79)*(P_CKDATE&lt;=I$79)*(P_CAT=$B89)*ISNUMBER(P_CKDATA)*P_INTYPE,P_CKDATA)+SUMPRODUCT((W_CKDATE&gt;H$79)*(W_CKDATE&lt;=I$79)*(W_CAT=$B89)*ISNUMBER(W_CKDATA)*W_INTYPE,W_CKDATA)+SUMPRODUCT((M_CKDATE&gt;H$79)*(M_CKDATE&lt;=I$79)*(M_CAT=$B89)*ISNUMBER(M_CKDATA)*M_INTYPE,M_CKDATA)+SUMPRODUCT((B_CKDATE&gt;H$79)*(B_CKDATE&lt;=I$79)*(B_CAT=$B89)*ISNUMBER(B_CKDATA)*B_INTYPE,B_CKDATA)+SUMPRODUCT((C_CKDATE&gt;H$79)*(C_CKDATE&lt;=I$79)*(C_CAT=$B89)*ISNUMBER(C_CKDATA)*C_INTYPE,C_CKDATA))/(SUMPRODUCT((P_CKDATE&gt;H$79)*(P_CKDATE&lt;=I$79)*(P_CAT=$B89)*ISNUMBER(P_CKDATA)*P_INTYPE)+SUMPRODUCT((W_CKDATE&gt;H$79)*(W_CKDATE&lt;=I$79)*(W_CAT=$B89)*ISNUMBER(W_CKDATA)*W_INTYPE)+SUMPRODUCT((M_CKDATE&gt;H$79)*(M_CKDATE&lt;=I$79)*(M_CAT=$B89)*ISNUMBER(M_CKDATA)*M_INTYPE)+SUMPRODUCT((B_CKDATE&gt;H$79)*(B_CKDATE&lt;=I$79)*(B_CAT=$B89)*ISNUMBER(B_CKDATA)*B_INTYPE)+SUMPRODUCT((C_CKDATE&gt;H$79)*(C_CKDATE&lt;=I$79)*(C_CAT=$B89)*ISNUMBER(C_CKDATA)*C_INTYPE)),""),"")</f>
        <v/>
      </c>
      <c r="J89" s="302" t="str">
        <f>IF(ISNUMBER(J$78),IFERROR((SUMPRODUCT((P_CKDATE&gt;I$79)*(P_CKDATE&lt;=J$79)*(P_CAT=$B89)*ISNUMBER(P_CKDATA)*P_INTYPE,P_CKDATA)+SUMPRODUCT((W_CKDATE&gt;I$79)*(W_CKDATE&lt;=J$79)*(W_CAT=$B89)*ISNUMBER(W_CKDATA)*W_INTYPE,W_CKDATA)+SUMPRODUCT((M_CKDATE&gt;I$79)*(M_CKDATE&lt;=J$79)*(M_CAT=$B89)*ISNUMBER(M_CKDATA)*M_INTYPE,M_CKDATA)+SUMPRODUCT((B_CKDATE&gt;I$79)*(B_CKDATE&lt;=J$79)*(B_CAT=$B89)*ISNUMBER(B_CKDATA)*B_INTYPE,B_CKDATA)+SUMPRODUCT((C_CKDATE&gt;I$79)*(C_CKDATE&lt;=J$79)*(C_CAT=$B89)*ISNUMBER(C_CKDATA)*C_INTYPE,C_CKDATA))/(SUMPRODUCT((P_CKDATE&gt;I$79)*(P_CKDATE&lt;=J$79)*(P_CAT=$B89)*ISNUMBER(P_CKDATA)*P_INTYPE)+SUMPRODUCT((W_CKDATE&gt;I$79)*(W_CKDATE&lt;=J$79)*(W_CAT=$B89)*ISNUMBER(W_CKDATA)*W_INTYPE)+SUMPRODUCT((M_CKDATE&gt;I$79)*(M_CKDATE&lt;=J$79)*(M_CAT=$B89)*ISNUMBER(M_CKDATA)*M_INTYPE)+SUMPRODUCT((B_CKDATE&gt;I$79)*(B_CKDATE&lt;=J$79)*(B_CAT=$B89)*ISNUMBER(B_CKDATA)*B_INTYPE)+SUMPRODUCT((C_CKDATE&gt;I$79)*(C_CKDATE&lt;=J$79)*(C_CAT=$B89)*ISNUMBER(C_CKDATA)*C_INTYPE)),""),"")</f>
        <v/>
      </c>
      <c r="K89" s="302" t="str">
        <f>IF(ISNUMBER(K$78),IFERROR((SUMPRODUCT((P_CKDATE&gt;J$79)*(P_CKDATE&lt;=K$79)*(P_CAT=$B89)*ISNUMBER(P_CKDATA)*P_INTYPE,P_CKDATA)+SUMPRODUCT((W_CKDATE&gt;J$79)*(W_CKDATE&lt;=K$79)*(W_CAT=$B89)*ISNUMBER(W_CKDATA)*W_INTYPE,W_CKDATA)+SUMPRODUCT((M_CKDATE&gt;J$79)*(M_CKDATE&lt;=K$79)*(M_CAT=$B89)*ISNUMBER(M_CKDATA)*M_INTYPE,M_CKDATA)+SUMPRODUCT((B_CKDATE&gt;J$79)*(B_CKDATE&lt;=K$79)*(B_CAT=$B89)*ISNUMBER(B_CKDATA)*B_INTYPE,B_CKDATA)+SUMPRODUCT((C_CKDATE&gt;J$79)*(C_CKDATE&lt;=K$79)*(C_CAT=$B89)*ISNUMBER(C_CKDATA)*C_INTYPE,C_CKDATA))/(SUMPRODUCT((P_CKDATE&gt;J$79)*(P_CKDATE&lt;=K$79)*(P_CAT=$B89)*ISNUMBER(P_CKDATA)*P_INTYPE)+SUMPRODUCT((W_CKDATE&gt;J$79)*(W_CKDATE&lt;=K$79)*(W_CAT=$B89)*ISNUMBER(W_CKDATA)*W_INTYPE)+SUMPRODUCT((M_CKDATE&gt;J$79)*(M_CKDATE&lt;=K$79)*(M_CAT=$B89)*ISNUMBER(M_CKDATA)*M_INTYPE)+SUMPRODUCT((B_CKDATE&gt;J$79)*(B_CKDATE&lt;=K$79)*(B_CAT=$B89)*ISNUMBER(B_CKDATA)*B_INTYPE)+SUMPRODUCT((C_CKDATE&gt;J$79)*(C_CKDATE&lt;=K$79)*(C_CAT=$B89)*ISNUMBER(C_CKDATA)*C_INTYPE)),""),"")</f>
        <v/>
      </c>
      <c r="L89" s="302" t="str">
        <f>IF(ISNUMBER(L$78),IFERROR((SUMPRODUCT((P_CKDATE&gt;K$79)*(P_CKDATE&lt;=L$79)*(P_CAT=$B89)*ISNUMBER(P_CKDATA)*P_INTYPE,P_CKDATA)+SUMPRODUCT((W_CKDATE&gt;K$79)*(W_CKDATE&lt;=L$79)*(W_CAT=$B89)*ISNUMBER(W_CKDATA)*W_INTYPE,W_CKDATA)+SUMPRODUCT((M_CKDATE&gt;K$79)*(M_CKDATE&lt;=L$79)*(M_CAT=$B89)*ISNUMBER(M_CKDATA)*M_INTYPE,M_CKDATA)+SUMPRODUCT((B_CKDATE&gt;K$79)*(B_CKDATE&lt;=L$79)*(B_CAT=$B89)*ISNUMBER(B_CKDATA)*B_INTYPE,B_CKDATA)+SUMPRODUCT((C_CKDATE&gt;K$79)*(C_CKDATE&lt;=L$79)*(C_CAT=$B89)*ISNUMBER(C_CKDATA)*C_INTYPE,C_CKDATA))/(SUMPRODUCT((P_CKDATE&gt;K$79)*(P_CKDATE&lt;=L$79)*(P_CAT=$B89)*ISNUMBER(P_CKDATA)*P_INTYPE)+SUMPRODUCT((W_CKDATE&gt;K$79)*(W_CKDATE&lt;=L$79)*(W_CAT=$B89)*ISNUMBER(W_CKDATA)*W_INTYPE)+SUMPRODUCT((M_CKDATE&gt;K$79)*(M_CKDATE&lt;=L$79)*(M_CAT=$B89)*ISNUMBER(M_CKDATA)*M_INTYPE)+SUMPRODUCT((B_CKDATE&gt;K$79)*(B_CKDATE&lt;=L$79)*(B_CAT=$B89)*ISNUMBER(B_CKDATA)*B_INTYPE)+SUMPRODUCT((C_CKDATE&gt;K$79)*(C_CKDATE&lt;=L$79)*(C_CAT=$B89)*ISNUMBER(C_CKDATA)*C_INTYPE)),""),"")</f>
        <v/>
      </c>
      <c r="M89" s="302" t="str">
        <f>IF(ISNUMBER(M$78),IFERROR((SUMPRODUCT((P_CKDATE&gt;L$79)*(P_CKDATE&lt;=M$79)*(P_CAT=$B89)*ISNUMBER(P_CKDATA)*P_INTYPE,P_CKDATA)+SUMPRODUCT((W_CKDATE&gt;L$79)*(W_CKDATE&lt;=M$79)*(W_CAT=$B89)*ISNUMBER(W_CKDATA)*W_INTYPE,W_CKDATA)+SUMPRODUCT((M_CKDATE&gt;L$79)*(M_CKDATE&lt;=M$79)*(M_CAT=$B89)*ISNUMBER(M_CKDATA)*M_INTYPE,M_CKDATA)+SUMPRODUCT((B_CKDATE&gt;L$79)*(B_CKDATE&lt;=M$79)*(B_CAT=$B89)*ISNUMBER(B_CKDATA)*B_INTYPE,B_CKDATA)+SUMPRODUCT((C_CKDATE&gt;L$79)*(C_CKDATE&lt;=M$79)*(C_CAT=$B89)*ISNUMBER(C_CKDATA)*C_INTYPE,C_CKDATA))/(SUMPRODUCT((P_CKDATE&gt;L$79)*(P_CKDATE&lt;=M$79)*(P_CAT=$B89)*ISNUMBER(P_CKDATA)*P_INTYPE)+SUMPRODUCT((W_CKDATE&gt;L$79)*(W_CKDATE&lt;=M$79)*(W_CAT=$B89)*ISNUMBER(W_CKDATA)*W_INTYPE)+SUMPRODUCT((M_CKDATE&gt;L$79)*(M_CKDATE&lt;=M$79)*(M_CAT=$B89)*ISNUMBER(M_CKDATA)*M_INTYPE)+SUMPRODUCT((B_CKDATE&gt;L$79)*(B_CKDATE&lt;=M$79)*(B_CAT=$B89)*ISNUMBER(B_CKDATA)*B_INTYPE)+SUMPRODUCT((C_CKDATE&gt;L$79)*(C_CKDATE&lt;=M$79)*(C_CAT=$B89)*ISNUMBER(C_CKDATA)*C_INTYPE)),""),"")</f>
        <v/>
      </c>
      <c r="N89" s="288"/>
      <c r="O89" s="288"/>
      <c r="P89" s="288"/>
      <c r="Q89" s="288"/>
      <c r="R89" s="288"/>
      <c r="S89" s="288"/>
      <c r="T89" s="288"/>
      <c r="U89" s="288"/>
      <c r="V89" s="288"/>
      <c r="W89" s="288"/>
      <c r="X89" s="288"/>
      <c r="Y89" s="288"/>
      <c r="Z89" s="288"/>
      <c r="AA89" s="288"/>
      <c r="AB89" s="288"/>
      <c r="AC89" s="288"/>
      <c r="AD89" s="288"/>
      <c r="AE89" s="288"/>
      <c r="AF89" s="288"/>
    </row>
    <row r="90" spans="1:32" ht="15" customHeight="1" x14ac:dyDescent="0.2">
      <c r="B90" s="465" t="s">
        <v>652</v>
      </c>
      <c r="C90" s="466"/>
      <c r="D90" s="302" t="str">
        <f>IFERROR((SUMPRODUCT(ISNUMBER(P_CKDATE)*(P_CAT=$B90)*ISNUMBER(P_CKDATA)*P_INTYPE,P_CKDATA)+SUMPRODUCT(ISNUMBER(W_CKDATE)*(W_CAT=$B90)*ISNUMBER(W_CKDATA)*W_INTYPE,W_CKDATA)+SUMPRODUCT(ISNUMBER(M_CKDATE)*(M_CAT=$B90)*ISNUMBER(M_CKDATA)*M_INTYPE,M_CKDATA)+SUMPRODUCT(ISNUMBER(B_CKDATE)*(B_CAT=$B90)*ISNUMBER(B_CKDATA)*B_INTYPE,B_CKDATA)+SUMPRODUCT(ISNUMBER(C_CKDATE)*(C_CAT=$B90)*ISNUMBER(C_CKDATA)*C_INTYPE,C_CKDATA))/(SUMPRODUCT(ISNUMBER(P_CKDATE)*(P_CAT=$B90)*ISNUMBER(P_CKDATA)*P_INTYPE)+SUMPRODUCT(ISNUMBER(W_CKDATE)*(W_CAT=$B90)*ISNUMBER(W_CKDATA)*W_INTYPE)+SUMPRODUCT(ISNUMBER(M_CKDATE)*(M_CAT=$B90)*ISNUMBER(M_CKDATA)*M_INTYPE)+SUMPRODUCT(ISNUMBER(B_CKDATE)*(B_CAT=$B90)*ISNUMBER(B_CKDATA)*B_INTYPE)+SUMPRODUCT(ISNUMBER(C_CKDATE)*(C_CAT=$B90)*ISNUMBER(C_CKDATA)*C_INTYPE)),"")</f>
        <v/>
      </c>
      <c r="E90" s="302" t="str">
        <f>IF(ISNUMBER(E$78),IFERROR((SUMPRODUCT((P_CKDATE&gt;D$79)*(P_CKDATE&lt;=E$79)*(P_CAT=$B90)*ISNUMBER(P_CKDATA)*P_INTYPE,P_CKDATA)+SUMPRODUCT((W_CKDATE&gt;D$79)*(W_CKDATE&lt;=E$79)*(W_CAT=$B90)*ISNUMBER(W_CKDATA)*W_INTYPE,W_CKDATA)+SUMPRODUCT((M_CKDATE&gt;D$79)*(M_CKDATE&lt;=E$79)*(M_CAT=$B90)*ISNUMBER(M_CKDATA)*M_INTYPE,M_CKDATA)+SUMPRODUCT((B_CKDATE&gt;D$79)*(B_CKDATE&lt;=E$79)*(B_CAT=$B90)*ISNUMBER(B_CKDATA)*B_INTYPE,B_CKDATA)+SUMPRODUCT((C_CKDATE&gt;D$79)*(C_CKDATE&lt;=E$79)*(C_CAT=$B90)*ISNUMBER(C_CKDATA)*C_INTYPE,C_CKDATA))/(SUMPRODUCT((P_CKDATE&gt;D$79)*(P_CKDATE&lt;=E$79)*(P_CAT=$B90)*ISNUMBER(P_CKDATA)*P_INTYPE)+SUMPRODUCT((W_CKDATE&gt;D$79)*(W_CKDATE&lt;=E$79)*(W_CAT=$B90)*ISNUMBER(W_CKDATA)*W_INTYPE)+SUMPRODUCT((M_CKDATE&gt;D$79)*(M_CKDATE&lt;=E$79)*(M_CAT=$B90)*ISNUMBER(M_CKDATA)*M_INTYPE)+SUMPRODUCT((B_CKDATE&gt;D$79)*(B_CKDATE&lt;=E$79)*(B_CAT=$B90)*ISNUMBER(B_CKDATA)*B_INTYPE)+SUMPRODUCT((C_CKDATE&gt;D$79)*(C_CKDATE&lt;=E$79)*(C_CAT=$B90)*ISNUMBER(C_CKDATA)*C_INTYPE)),""),"")</f>
        <v/>
      </c>
      <c r="F90" s="302" t="str">
        <f>IF(ISNUMBER(F$78),IFERROR((SUMPRODUCT((P_CKDATE&gt;E$79)*(P_CKDATE&lt;=F$79)*(P_CAT=$B90)*ISNUMBER(P_CKDATA)*P_INTYPE,P_CKDATA)+SUMPRODUCT((W_CKDATE&gt;E$79)*(W_CKDATE&lt;=F$79)*(W_CAT=$B90)*ISNUMBER(W_CKDATA)*W_INTYPE,W_CKDATA)+SUMPRODUCT((M_CKDATE&gt;E$79)*(M_CKDATE&lt;=F$79)*(M_CAT=$B90)*ISNUMBER(M_CKDATA)*M_INTYPE,M_CKDATA)+SUMPRODUCT((B_CKDATE&gt;E$79)*(B_CKDATE&lt;=F$79)*(B_CAT=$B90)*ISNUMBER(B_CKDATA)*B_INTYPE,B_CKDATA)+SUMPRODUCT((C_CKDATE&gt;E$79)*(C_CKDATE&lt;=F$79)*(C_CAT=$B90)*ISNUMBER(C_CKDATA)*C_INTYPE,C_CKDATA))/(SUMPRODUCT((P_CKDATE&gt;E$79)*(P_CKDATE&lt;=F$79)*(P_CAT=$B90)*ISNUMBER(P_CKDATA)*P_INTYPE)+SUMPRODUCT((W_CKDATE&gt;E$79)*(W_CKDATE&lt;=F$79)*(W_CAT=$B90)*ISNUMBER(W_CKDATA)*W_INTYPE)+SUMPRODUCT((M_CKDATE&gt;E$79)*(M_CKDATE&lt;=F$79)*(M_CAT=$B90)*ISNUMBER(M_CKDATA)*M_INTYPE)+SUMPRODUCT((B_CKDATE&gt;E$79)*(B_CKDATE&lt;=F$79)*(B_CAT=$B90)*ISNUMBER(B_CKDATA)*B_INTYPE)+SUMPRODUCT((C_CKDATE&gt;E$79)*(C_CKDATE&lt;=F$79)*(C_CAT=$B90)*ISNUMBER(C_CKDATA)*C_INTYPE)),""),"")</f>
        <v/>
      </c>
      <c r="G90" s="302" t="str">
        <f>IF(ISNUMBER(G$78),IFERROR((SUMPRODUCT((P_CKDATE&gt;F$79)*(P_CKDATE&lt;=G$79)*(P_CAT=$B90)*ISNUMBER(P_CKDATA)*P_INTYPE,P_CKDATA)+SUMPRODUCT((W_CKDATE&gt;F$79)*(W_CKDATE&lt;=G$79)*(W_CAT=$B90)*ISNUMBER(W_CKDATA)*W_INTYPE,W_CKDATA)+SUMPRODUCT((M_CKDATE&gt;F$79)*(M_CKDATE&lt;=G$79)*(M_CAT=$B90)*ISNUMBER(M_CKDATA)*M_INTYPE,M_CKDATA)+SUMPRODUCT((B_CKDATE&gt;F$79)*(B_CKDATE&lt;=G$79)*(B_CAT=$B90)*ISNUMBER(B_CKDATA)*B_INTYPE,B_CKDATA)+SUMPRODUCT((C_CKDATE&gt;F$79)*(C_CKDATE&lt;=G$79)*(C_CAT=$B90)*ISNUMBER(C_CKDATA)*C_INTYPE,C_CKDATA))/(SUMPRODUCT((P_CKDATE&gt;F$79)*(P_CKDATE&lt;=G$79)*(P_CAT=$B90)*ISNUMBER(P_CKDATA)*P_INTYPE)+SUMPRODUCT((W_CKDATE&gt;F$79)*(W_CKDATE&lt;=G$79)*(W_CAT=$B90)*ISNUMBER(W_CKDATA)*W_INTYPE)+SUMPRODUCT((M_CKDATE&gt;F$79)*(M_CKDATE&lt;=G$79)*(M_CAT=$B90)*ISNUMBER(M_CKDATA)*M_INTYPE)+SUMPRODUCT((B_CKDATE&gt;F$79)*(B_CKDATE&lt;=G$79)*(B_CAT=$B90)*ISNUMBER(B_CKDATA)*B_INTYPE)+SUMPRODUCT((C_CKDATE&gt;F$79)*(C_CKDATE&lt;=G$79)*(C_CAT=$B90)*ISNUMBER(C_CKDATA)*C_INTYPE)),""),"")</f>
        <v/>
      </c>
      <c r="H90" s="302" t="str">
        <f>IF(ISNUMBER(H$78),IFERROR((SUMPRODUCT((P_CKDATE&gt;G$79)*(P_CKDATE&lt;=H$79)*(P_CAT=$B90)*ISNUMBER(P_CKDATA)*P_INTYPE,P_CKDATA)+SUMPRODUCT((W_CKDATE&gt;G$79)*(W_CKDATE&lt;=H$79)*(W_CAT=$B90)*ISNUMBER(W_CKDATA)*W_INTYPE,W_CKDATA)+SUMPRODUCT((M_CKDATE&gt;G$79)*(M_CKDATE&lt;=H$79)*(M_CAT=$B90)*ISNUMBER(M_CKDATA)*M_INTYPE,M_CKDATA)+SUMPRODUCT((B_CKDATE&gt;G$79)*(B_CKDATE&lt;=H$79)*(B_CAT=$B90)*ISNUMBER(B_CKDATA)*B_INTYPE,B_CKDATA)+SUMPRODUCT((C_CKDATE&gt;G$79)*(C_CKDATE&lt;=H$79)*(C_CAT=$B90)*ISNUMBER(C_CKDATA)*C_INTYPE,C_CKDATA))/(SUMPRODUCT((P_CKDATE&gt;G$79)*(P_CKDATE&lt;=H$79)*(P_CAT=$B90)*ISNUMBER(P_CKDATA)*P_INTYPE)+SUMPRODUCT((W_CKDATE&gt;G$79)*(W_CKDATE&lt;=H$79)*(W_CAT=$B90)*ISNUMBER(W_CKDATA)*W_INTYPE)+SUMPRODUCT((M_CKDATE&gt;G$79)*(M_CKDATE&lt;=H$79)*(M_CAT=$B90)*ISNUMBER(M_CKDATA)*M_INTYPE)+SUMPRODUCT((B_CKDATE&gt;G$79)*(B_CKDATE&lt;=H$79)*(B_CAT=$B90)*ISNUMBER(B_CKDATA)*B_INTYPE)+SUMPRODUCT((C_CKDATE&gt;G$79)*(C_CKDATE&lt;=H$79)*(C_CAT=$B90)*ISNUMBER(C_CKDATA)*C_INTYPE)),""),"")</f>
        <v/>
      </c>
      <c r="I90" s="302" t="str">
        <f>IF(ISNUMBER(I$78),IFERROR((SUMPRODUCT((P_CKDATE&gt;H$79)*(P_CKDATE&lt;=I$79)*(P_CAT=$B90)*ISNUMBER(P_CKDATA)*P_INTYPE,P_CKDATA)+SUMPRODUCT((W_CKDATE&gt;H$79)*(W_CKDATE&lt;=I$79)*(W_CAT=$B90)*ISNUMBER(W_CKDATA)*W_INTYPE,W_CKDATA)+SUMPRODUCT((M_CKDATE&gt;H$79)*(M_CKDATE&lt;=I$79)*(M_CAT=$B90)*ISNUMBER(M_CKDATA)*M_INTYPE,M_CKDATA)+SUMPRODUCT((B_CKDATE&gt;H$79)*(B_CKDATE&lt;=I$79)*(B_CAT=$B90)*ISNUMBER(B_CKDATA)*B_INTYPE,B_CKDATA)+SUMPRODUCT((C_CKDATE&gt;H$79)*(C_CKDATE&lt;=I$79)*(C_CAT=$B90)*ISNUMBER(C_CKDATA)*C_INTYPE,C_CKDATA))/(SUMPRODUCT((P_CKDATE&gt;H$79)*(P_CKDATE&lt;=I$79)*(P_CAT=$B90)*ISNUMBER(P_CKDATA)*P_INTYPE)+SUMPRODUCT((W_CKDATE&gt;H$79)*(W_CKDATE&lt;=I$79)*(W_CAT=$B90)*ISNUMBER(W_CKDATA)*W_INTYPE)+SUMPRODUCT((M_CKDATE&gt;H$79)*(M_CKDATE&lt;=I$79)*(M_CAT=$B90)*ISNUMBER(M_CKDATA)*M_INTYPE)+SUMPRODUCT((B_CKDATE&gt;H$79)*(B_CKDATE&lt;=I$79)*(B_CAT=$B90)*ISNUMBER(B_CKDATA)*B_INTYPE)+SUMPRODUCT((C_CKDATE&gt;H$79)*(C_CKDATE&lt;=I$79)*(C_CAT=$B90)*ISNUMBER(C_CKDATA)*C_INTYPE)),""),"")</f>
        <v/>
      </c>
      <c r="J90" s="302" t="str">
        <f>IF(ISNUMBER(J$78),IFERROR((SUMPRODUCT((P_CKDATE&gt;I$79)*(P_CKDATE&lt;=J$79)*(P_CAT=$B90)*ISNUMBER(P_CKDATA)*P_INTYPE,P_CKDATA)+SUMPRODUCT((W_CKDATE&gt;I$79)*(W_CKDATE&lt;=J$79)*(W_CAT=$B90)*ISNUMBER(W_CKDATA)*W_INTYPE,W_CKDATA)+SUMPRODUCT((M_CKDATE&gt;I$79)*(M_CKDATE&lt;=J$79)*(M_CAT=$B90)*ISNUMBER(M_CKDATA)*M_INTYPE,M_CKDATA)+SUMPRODUCT((B_CKDATE&gt;I$79)*(B_CKDATE&lt;=J$79)*(B_CAT=$B90)*ISNUMBER(B_CKDATA)*B_INTYPE,B_CKDATA)+SUMPRODUCT((C_CKDATE&gt;I$79)*(C_CKDATE&lt;=J$79)*(C_CAT=$B90)*ISNUMBER(C_CKDATA)*C_INTYPE,C_CKDATA))/(SUMPRODUCT((P_CKDATE&gt;I$79)*(P_CKDATE&lt;=J$79)*(P_CAT=$B90)*ISNUMBER(P_CKDATA)*P_INTYPE)+SUMPRODUCT((W_CKDATE&gt;I$79)*(W_CKDATE&lt;=J$79)*(W_CAT=$B90)*ISNUMBER(W_CKDATA)*W_INTYPE)+SUMPRODUCT((M_CKDATE&gt;I$79)*(M_CKDATE&lt;=J$79)*(M_CAT=$B90)*ISNUMBER(M_CKDATA)*M_INTYPE)+SUMPRODUCT((B_CKDATE&gt;I$79)*(B_CKDATE&lt;=J$79)*(B_CAT=$B90)*ISNUMBER(B_CKDATA)*B_INTYPE)+SUMPRODUCT((C_CKDATE&gt;I$79)*(C_CKDATE&lt;=J$79)*(C_CAT=$B90)*ISNUMBER(C_CKDATA)*C_INTYPE)),""),"")</f>
        <v/>
      </c>
      <c r="K90" s="302" t="str">
        <f>IF(ISNUMBER(K$78),IFERROR((SUMPRODUCT((P_CKDATE&gt;J$79)*(P_CKDATE&lt;=K$79)*(P_CAT=$B90)*ISNUMBER(P_CKDATA)*P_INTYPE,P_CKDATA)+SUMPRODUCT((W_CKDATE&gt;J$79)*(W_CKDATE&lt;=K$79)*(W_CAT=$B90)*ISNUMBER(W_CKDATA)*W_INTYPE,W_CKDATA)+SUMPRODUCT((M_CKDATE&gt;J$79)*(M_CKDATE&lt;=K$79)*(M_CAT=$B90)*ISNUMBER(M_CKDATA)*M_INTYPE,M_CKDATA)+SUMPRODUCT((B_CKDATE&gt;J$79)*(B_CKDATE&lt;=K$79)*(B_CAT=$B90)*ISNUMBER(B_CKDATA)*B_INTYPE,B_CKDATA)+SUMPRODUCT((C_CKDATE&gt;J$79)*(C_CKDATE&lt;=K$79)*(C_CAT=$B90)*ISNUMBER(C_CKDATA)*C_INTYPE,C_CKDATA))/(SUMPRODUCT((P_CKDATE&gt;J$79)*(P_CKDATE&lt;=K$79)*(P_CAT=$B90)*ISNUMBER(P_CKDATA)*P_INTYPE)+SUMPRODUCT((W_CKDATE&gt;J$79)*(W_CKDATE&lt;=K$79)*(W_CAT=$B90)*ISNUMBER(W_CKDATA)*W_INTYPE)+SUMPRODUCT((M_CKDATE&gt;J$79)*(M_CKDATE&lt;=K$79)*(M_CAT=$B90)*ISNUMBER(M_CKDATA)*M_INTYPE)+SUMPRODUCT((B_CKDATE&gt;J$79)*(B_CKDATE&lt;=K$79)*(B_CAT=$B90)*ISNUMBER(B_CKDATA)*B_INTYPE)+SUMPRODUCT((C_CKDATE&gt;J$79)*(C_CKDATE&lt;=K$79)*(C_CAT=$B90)*ISNUMBER(C_CKDATA)*C_INTYPE)),""),"")</f>
        <v/>
      </c>
      <c r="L90" s="302" t="str">
        <f>IF(ISNUMBER(L$78),IFERROR((SUMPRODUCT((P_CKDATE&gt;K$79)*(P_CKDATE&lt;=L$79)*(P_CAT=$B90)*ISNUMBER(P_CKDATA)*P_INTYPE,P_CKDATA)+SUMPRODUCT((W_CKDATE&gt;K$79)*(W_CKDATE&lt;=L$79)*(W_CAT=$B90)*ISNUMBER(W_CKDATA)*W_INTYPE,W_CKDATA)+SUMPRODUCT((M_CKDATE&gt;K$79)*(M_CKDATE&lt;=L$79)*(M_CAT=$B90)*ISNUMBER(M_CKDATA)*M_INTYPE,M_CKDATA)+SUMPRODUCT((B_CKDATE&gt;K$79)*(B_CKDATE&lt;=L$79)*(B_CAT=$B90)*ISNUMBER(B_CKDATA)*B_INTYPE,B_CKDATA)+SUMPRODUCT((C_CKDATE&gt;K$79)*(C_CKDATE&lt;=L$79)*(C_CAT=$B90)*ISNUMBER(C_CKDATA)*C_INTYPE,C_CKDATA))/(SUMPRODUCT((P_CKDATE&gt;K$79)*(P_CKDATE&lt;=L$79)*(P_CAT=$B90)*ISNUMBER(P_CKDATA)*P_INTYPE)+SUMPRODUCT((W_CKDATE&gt;K$79)*(W_CKDATE&lt;=L$79)*(W_CAT=$B90)*ISNUMBER(W_CKDATA)*W_INTYPE)+SUMPRODUCT((M_CKDATE&gt;K$79)*(M_CKDATE&lt;=L$79)*(M_CAT=$B90)*ISNUMBER(M_CKDATA)*M_INTYPE)+SUMPRODUCT((B_CKDATE&gt;K$79)*(B_CKDATE&lt;=L$79)*(B_CAT=$B90)*ISNUMBER(B_CKDATA)*B_INTYPE)+SUMPRODUCT((C_CKDATE&gt;K$79)*(C_CKDATE&lt;=L$79)*(C_CAT=$B90)*ISNUMBER(C_CKDATA)*C_INTYPE)),""),"")</f>
        <v/>
      </c>
      <c r="M90" s="302" t="str">
        <f>IF(ISNUMBER(M$78),IFERROR((SUMPRODUCT((P_CKDATE&gt;L$79)*(P_CKDATE&lt;=M$79)*(P_CAT=$B90)*ISNUMBER(P_CKDATA)*P_INTYPE,P_CKDATA)+SUMPRODUCT((W_CKDATE&gt;L$79)*(W_CKDATE&lt;=M$79)*(W_CAT=$B90)*ISNUMBER(W_CKDATA)*W_INTYPE,W_CKDATA)+SUMPRODUCT((M_CKDATE&gt;L$79)*(M_CKDATE&lt;=M$79)*(M_CAT=$B90)*ISNUMBER(M_CKDATA)*M_INTYPE,M_CKDATA)+SUMPRODUCT((B_CKDATE&gt;L$79)*(B_CKDATE&lt;=M$79)*(B_CAT=$B90)*ISNUMBER(B_CKDATA)*B_INTYPE,B_CKDATA)+SUMPRODUCT((C_CKDATE&gt;L$79)*(C_CKDATE&lt;=M$79)*(C_CAT=$B90)*ISNUMBER(C_CKDATA)*C_INTYPE,C_CKDATA))/(SUMPRODUCT((P_CKDATE&gt;L$79)*(P_CKDATE&lt;=M$79)*(P_CAT=$B90)*ISNUMBER(P_CKDATA)*P_INTYPE)+SUMPRODUCT((W_CKDATE&gt;L$79)*(W_CKDATE&lt;=M$79)*(W_CAT=$B90)*ISNUMBER(W_CKDATA)*W_INTYPE)+SUMPRODUCT((M_CKDATE&gt;L$79)*(M_CKDATE&lt;=M$79)*(M_CAT=$B90)*ISNUMBER(M_CKDATA)*M_INTYPE)+SUMPRODUCT((B_CKDATE&gt;L$79)*(B_CKDATE&lt;=M$79)*(B_CAT=$B90)*ISNUMBER(B_CKDATA)*B_INTYPE)+SUMPRODUCT((C_CKDATE&gt;L$79)*(C_CKDATE&lt;=M$79)*(C_CAT=$B90)*ISNUMBER(C_CKDATA)*C_INTYPE)),""),"")</f>
        <v/>
      </c>
      <c r="N90" s="288"/>
      <c r="O90" s="288"/>
      <c r="P90" s="288"/>
      <c r="Q90" s="288"/>
      <c r="R90" s="288"/>
      <c r="S90" s="288"/>
      <c r="T90" s="288"/>
      <c r="U90" s="288"/>
      <c r="V90" s="288"/>
      <c r="W90" s="288"/>
      <c r="X90" s="288"/>
      <c r="Y90" s="288"/>
      <c r="Z90" s="288"/>
      <c r="AA90" s="288"/>
      <c r="AB90" s="288"/>
      <c r="AC90" s="288"/>
      <c r="AD90" s="288"/>
      <c r="AE90" s="288"/>
      <c r="AF90" s="288"/>
    </row>
    <row r="91" spans="1:32" ht="15" customHeight="1" x14ac:dyDescent="0.2">
      <c r="B91" s="465" t="s">
        <v>970</v>
      </c>
      <c r="C91" s="466"/>
      <c r="D91" s="302" t="str">
        <f>IFERROR((SUMPRODUCT(ISNUMBER(P_CKDATE)*(P_CAT=$B91)*ISNUMBER(P_CKDATA)*P_INTYPE,P_CKDATA)+SUMPRODUCT(ISNUMBER(W_CKDATE)*(W_CAT=$B91)*ISNUMBER(W_CKDATA)*W_INTYPE,W_CKDATA)+SUMPRODUCT(ISNUMBER(M_CKDATE)*(M_CAT=$B91)*ISNUMBER(M_CKDATA)*M_INTYPE,M_CKDATA)+SUMPRODUCT(ISNUMBER(B_CKDATE)*(B_CAT=$B91)*ISNUMBER(B_CKDATA)*B_INTYPE,B_CKDATA)+SUMPRODUCT(ISNUMBER(C_CKDATE)*(C_CAT=$B91)*ISNUMBER(C_CKDATA)*C_INTYPE,C_CKDATA))/(SUMPRODUCT(ISNUMBER(P_CKDATE)*(P_CAT=$B91)*ISNUMBER(P_CKDATA)*P_INTYPE)+SUMPRODUCT(ISNUMBER(W_CKDATE)*(W_CAT=$B91)*ISNUMBER(W_CKDATA)*W_INTYPE)+SUMPRODUCT(ISNUMBER(M_CKDATE)*(M_CAT=$B91)*ISNUMBER(M_CKDATA)*M_INTYPE)+SUMPRODUCT(ISNUMBER(B_CKDATE)*(B_CAT=$B91)*ISNUMBER(B_CKDATA)*B_INTYPE)+SUMPRODUCT(ISNUMBER(C_CKDATE)*(C_CAT=$B91)*ISNUMBER(C_CKDATA)*C_INTYPE)),"")</f>
        <v/>
      </c>
      <c r="E91" s="302" t="str">
        <f>IF(ISNUMBER(E$78),IFERROR((SUMPRODUCT((P_CKDATE&gt;D$79)*(P_CKDATE&lt;=E$79)*(P_CAT=$B91)*ISNUMBER(P_CKDATA)*P_INTYPE,P_CKDATA)+SUMPRODUCT((W_CKDATE&gt;D$79)*(W_CKDATE&lt;=E$79)*(W_CAT=$B91)*ISNUMBER(W_CKDATA)*W_INTYPE,W_CKDATA)+SUMPRODUCT((M_CKDATE&gt;D$79)*(M_CKDATE&lt;=E$79)*(M_CAT=$B91)*ISNUMBER(M_CKDATA)*M_INTYPE,M_CKDATA)+SUMPRODUCT((B_CKDATE&gt;D$79)*(B_CKDATE&lt;=E$79)*(B_CAT=$B91)*ISNUMBER(B_CKDATA)*B_INTYPE,B_CKDATA)+SUMPRODUCT((C_CKDATE&gt;D$79)*(C_CKDATE&lt;=E$79)*(C_CAT=$B91)*ISNUMBER(C_CKDATA)*C_INTYPE,C_CKDATA))/(SUMPRODUCT((P_CKDATE&gt;D$79)*(P_CKDATE&lt;=E$79)*(P_CAT=$B91)*ISNUMBER(P_CKDATA)*P_INTYPE)+SUMPRODUCT((W_CKDATE&gt;D$79)*(W_CKDATE&lt;=E$79)*(W_CAT=$B91)*ISNUMBER(W_CKDATA)*W_INTYPE)+SUMPRODUCT((M_CKDATE&gt;D$79)*(M_CKDATE&lt;=E$79)*(M_CAT=$B91)*ISNUMBER(M_CKDATA)*M_INTYPE)+SUMPRODUCT((B_CKDATE&gt;D$79)*(B_CKDATE&lt;=E$79)*(B_CAT=$B91)*ISNUMBER(B_CKDATA)*B_INTYPE)+SUMPRODUCT((C_CKDATE&gt;D$79)*(C_CKDATE&lt;=E$79)*(C_CAT=$B91)*ISNUMBER(C_CKDATA)*C_INTYPE)),""),"")</f>
        <v/>
      </c>
      <c r="F91" s="302" t="str">
        <f>IF(ISNUMBER(F$78),IFERROR((SUMPRODUCT((P_CKDATE&gt;E$79)*(P_CKDATE&lt;=F$79)*(P_CAT=$B91)*ISNUMBER(P_CKDATA)*P_INTYPE,P_CKDATA)+SUMPRODUCT((W_CKDATE&gt;E$79)*(W_CKDATE&lt;=F$79)*(W_CAT=$B91)*ISNUMBER(W_CKDATA)*W_INTYPE,W_CKDATA)+SUMPRODUCT((M_CKDATE&gt;E$79)*(M_CKDATE&lt;=F$79)*(M_CAT=$B91)*ISNUMBER(M_CKDATA)*M_INTYPE,M_CKDATA)+SUMPRODUCT((B_CKDATE&gt;E$79)*(B_CKDATE&lt;=F$79)*(B_CAT=$B91)*ISNUMBER(B_CKDATA)*B_INTYPE,B_CKDATA)+SUMPRODUCT((C_CKDATE&gt;E$79)*(C_CKDATE&lt;=F$79)*(C_CAT=$B91)*ISNUMBER(C_CKDATA)*C_INTYPE,C_CKDATA))/(SUMPRODUCT((P_CKDATE&gt;E$79)*(P_CKDATE&lt;=F$79)*(P_CAT=$B91)*ISNUMBER(P_CKDATA)*P_INTYPE)+SUMPRODUCT((W_CKDATE&gt;E$79)*(W_CKDATE&lt;=F$79)*(W_CAT=$B91)*ISNUMBER(W_CKDATA)*W_INTYPE)+SUMPRODUCT((M_CKDATE&gt;E$79)*(M_CKDATE&lt;=F$79)*(M_CAT=$B91)*ISNUMBER(M_CKDATA)*M_INTYPE)+SUMPRODUCT((B_CKDATE&gt;E$79)*(B_CKDATE&lt;=F$79)*(B_CAT=$B91)*ISNUMBER(B_CKDATA)*B_INTYPE)+SUMPRODUCT((C_CKDATE&gt;E$79)*(C_CKDATE&lt;=F$79)*(C_CAT=$B91)*ISNUMBER(C_CKDATA)*C_INTYPE)),""),"")</f>
        <v/>
      </c>
      <c r="G91" s="302" t="str">
        <f>IF(ISNUMBER(G$78),IFERROR((SUMPRODUCT((P_CKDATE&gt;F$79)*(P_CKDATE&lt;=G$79)*(P_CAT=$B91)*ISNUMBER(P_CKDATA)*P_INTYPE,P_CKDATA)+SUMPRODUCT((W_CKDATE&gt;F$79)*(W_CKDATE&lt;=G$79)*(W_CAT=$B91)*ISNUMBER(W_CKDATA)*W_INTYPE,W_CKDATA)+SUMPRODUCT((M_CKDATE&gt;F$79)*(M_CKDATE&lt;=G$79)*(M_CAT=$B91)*ISNUMBER(M_CKDATA)*M_INTYPE,M_CKDATA)+SUMPRODUCT((B_CKDATE&gt;F$79)*(B_CKDATE&lt;=G$79)*(B_CAT=$B91)*ISNUMBER(B_CKDATA)*B_INTYPE,B_CKDATA)+SUMPRODUCT((C_CKDATE&gt;F$79)*(C_CKDATE&lt;=G$79)*(C_CAT=$B91)*ISNUMBER(C_CKDATA)*C_INTYPE,C_CKDATA))/(SUMPRODUCT((P_CKDATE&gt;F$79)*(P_CKDATE&lt;=G$79)*(P_CAT=$B91)*ISNUMBER(P_CKDATA)*P_INTYPE)+SUMPRODUCT((W_CKDATE&gt;F$79)*(W_CKDATE&lt;=G$79)*(W_CAT=$B91)*ISNUMBER(W_CKDATA)*W_INTYPE)+SUMPRODUCT((M_CKDATE&gt;F$79)*(M_CKDATE&lt;=G$79)*(M_CAT=$B91)*ISNUMBER(M_CKDATA)*M_INTYPE)+SUMPRODUCT((B_CKDATE&gt;F$79)*(B_CKDATE&lt;=G$79)*(B_CAT=$B91)*ISNUMBER(B_CKDATA)*B_INTYPE)+SUMPRODUCT((C_CKDATE&gt;F$79)*(C_CKDATE&lt;=G$79)*(C_CAT=$B91)*ISNUMBER(C_CKDATA)*C_INTYPE)),""),"")</f>
        <v/>
      </c>
      <c r="H91" s="302" t="str">
        <f>IF(ISNUMBER(H$78),IFERROR((SUMPRODUCT((P_CKDATE&gt;G$79)*(P_CKDATE&lt;=H$79)*(P_CAT=$B91)*ISNUMBER(P_CKDATA)*P_INTYPE,P_CKDATA)+SUMPRODUCT((W_CKDATE&gt;G$79)*(W_CKDATE&lt;=H$79)*(W_CAT=$B91)*ISNUMBER(W_CKDATA)*W_INTYPE,W_CKDATA)+SUMPRODUCT((M_CKDATE&gt;G$79)*(M_CKDATE&lt;=H$79)*(M_CAT=$B91)*ISNUMBER(M_CKDATA)*M_INTYPE,M_CKDATA)+SUMPRODUCT((B_CKDATE&gt;G$79)*(B_CKDATE&lt;=H$79)*(B_CAT=$B91)*ISNUMBER(B_CKDATA)*B_INTYPE,B_CKDATA)+SUMPRODUCT((C_CKDATE&gt;G$79)*(C_CKDATE&lt;=H$79)*(C_CAT=$B91)*ISNUMBER(C_CKDATA)*C_INTYPE,C_CKDATA))/(SUMPRODUCT((P_CKDATE&gt;G$79)*(P_CKDATE&lt;=H$79)*(P_CAT=$B91)*ISNUMBER(P_CKDATA)*P_INTYPE)+SUMPRODUCT((W_CKDATE&gt;G$79)*(W_CKDATE&lt;=H$79)*(W_CAT=$B91)*ISNUMBER(W_CKDATA)*W_INTYPE)+SUMPRODUCT((M_CKDATE&gt;G$79)*(M_CKDATE&lt;=H$79)*(M_CAT=$B91)*ISNUMBER(M_CKDATA)*M_INTYPE)+SUMPRODUCT((B_CKDATE&gt;G$79)*(B_CKDATE&lt;=H$79)*(B_CAT=$B91)*ISNUMBER(B_CKDATA)*B_INTYPE)+SUMPRODUCT((C_CKDATE&gt;G$79)*(C_CKDATE&lt;=H$79)*(C_CAT=$B91)*ISNUMBER(C_CKDATA)*C_INTYPE)),""),"")</f>
        <v/>
      </c>
      <c r="I91" s="302" t="str">
        <f>IF(ISNUMBER(I$78),IFERROR((SUMPRODUCT((P_CKDATE&gt;H$79)*(P_CKDATE&lt;=I$79)*(P_CAT=$B91)*ISNUMBER(P_CKDATA)*P_INTYPE,P_CKDATA)+SUMPRODUCT((W_CKDATE&gt;H$79)*(W_CKDATE&lt;=I$79)*(W_CAT=$B91)*ISNUMBER(W_CKDATA)*W_INTYPE,W_CKDATA)+SUMPRODUCT((M_CKDATE&gt;H$79)*(M_CKDATE&lt;=I$79)*(M_CAT=$B91)*ISNUMBER(M_CKDATA)*M_INTYPE,M_CKDATA)+SUMPRODUCT((B_CKDATE&gt;H$79)*(B_CKDATE&lt;=I$79)*(B_CAT=$B91)*ISNUMBER(B_CKDATA)*B_INTYPE,B_CKDATA)+SUMPRODUCT((C_CKDATE&gt;H$79)*(C_CKDATE&lt;=I$79)*(C_CAT=$B91)*ISNUMBER(C_CKDATA)*C_INTYPE,C_CKDATA))/(SUMPRODUCT((P_CKDATE&gt;H$79)*(P_CKDATE&lt;=I$79)*(P_CAT=$B91)*ISNUMBER(P_CKDATA)*P_INTYPE)+SUMPRODUCT((W_CKDATE&gt;H$79)*(W_CKDATE&lt;=I$79)*(W_CAT=$B91)*ISNUMBER(W_CKDATA)*W_INTYPE)+SUMPRODUCT((M_CKDATE&gt;H$79)*(M_CKDATE&lt;=I$79)*(M_CAT=$B91)*ISNUMBER(M_CKDATA)*M_INTYPE)+SUMPRODUCT((B_CKDATE&gt;H$79)*(B_CKDATE&lt;=I$79)*(B_CAT=$B91)*ISNUMBER(B_CKDATA)*B_INTYPE)+SUMPRODUCT((C_CKDATE&gt;H$79)*(C_CKDATE&lt;=I$79)*(C_CAT=$B91)*ISNUMBER(C_CKDATA)*C_INTYPE)),""),"")</f>
        <v/>
      </c>
      <c r="J91" s="302" t="str">
        <f>IF(ISNUMBER(J$78),IFERROR((SUMPRODUCT((P_CKDATE&gt;I$79)*(P_CKDATE&lt;=J$79)*(P_CAT=$B91)*ISNUMBER(P_CKDATA)*P_INTYPE,P_CKDATA)+SUMPRODUCT((W_CKDATE&gt;I$79)*(W_CKDATE&lt;=J$79)*(W_CAT=$B91)*ISNUMBER(W_CKDATA)*W_INTYPE,W_CKDATA)+SUMPRODUCT((M_CKDATE&gt;I$79)*(M_CKDATE&lt;=J$79)*(M_CAT=$B91)*ISNUMBER(M_CKDATA)*M_INTYPE,M_CKDATA)+SUMPRODUCT((B_CKDATE&gt;I$79)*(B_CKDATE&lt;=J$79)*(B_CAT=$B91)*ISNUMBER(B_CKDATA)*B_INTYPE,B_CKDATA)+SUMPRODUCT((C_CKDATE&gt;I$79)*(C_CKDATE&lt;=J$79)*(C_CAT=$B91)*ISNUMBER(C_CKDATA)*C_INTYPE,C_CKDATA))/(SUMPRODUCT((P_CKDATE&gt;I$79)*(P_CKDATE&lt;=J$79)*(P_CAT=$B91)*ISNUMBER(P_CKDATA)*P_INTYPE)+SUMPRODUCT((W_CKDATE&gt;I$79)*(W_CKDATE&lt;=J$79)*(W_CAT=$B91)*ISNUMBER(W_CKDATA)*W_INTYPE)+SUMPRODUCT((M_CKDATE&gt;I$79)*(M_CKDATE&lt;=J$79)*(M_CAT=$B91)*ISNUMBER(M_CKDATA)*M_INTYPE)+SUMPRODUCT((B_CKDATE&gt;I$79)*(B_CKDATE&lt;=J$79)*(B_CAT=$B91)*ISNUMBER(B_CKDATA)*B_INTYPE)+SUMPRODUCT((C_CKDATE&gt;I$79)*(C_CKDATE&lt;=J$79)*(C_CAT=$B91)*ISNUMBER(C_CKDATA)*C_INTYPE)),""),"")</f>
        <v/>
      </c>
      <c r="K91" s="302" t="str">
        <f>IF(ISNUMBER(K$78),IFERROR((SUMPRODUCT((P_CKDATE&gt;J$79)*(P_CKDATE&lt;=K$79)*(P_CAT=$B91)*ISNUMBER(P_CKDATA)*P_INTYPE,P_CKDATA)+SUMPRODUCT((W_CKDATE&gt;J$79)*(W_CKDATE&lt;=K$79)*(W_CAT=$B91)*ISNUMBER(W_CKDATA)*W_INTYPE,W_CKDATA)+SUMPRODUCT((M_CKDATE&gt;J$79)*(M_CKDATE&lt;=K$79)*(M_CAT=$B91)*ISNUMBER(M_CKDATA)*M_INTYPE,M_CKDATA)+SUMPRODUCT((B_CKDATE&gt;J$79)*(B_CKDATE&lt;=K$79)*(B_CAT=$B91)*ISNUMBER(B_CKDATA)*B_INTYPE,B_CKDATA)+SUMPRODUCT((C_CKDATE&gt;J$79)*(C_CKDATE&lt;=K$79)*(C_CAT=$B91)*ISNUMBER(C_CKDATA)*C_INTYPE,C_CKDATA))/(SUMPRODUCT((P_CKDATE&gt;J$79)*(P_CKDATE&lt;=K$79)*(P_CAT=$B91)*ISNUMBER(P_CKDATA)*P_INTYPE)+SUMPRODUCT((W_CKDATE&gt;J$79)*(W_CKDATE&lt;=K$79)*(W_CAT=$B91)*ISNUMBER(W_CKDATA)*W_INTYPE)+SUMPRODUCT((M_CKDATE&gt;J$79)*(M_CKDATE&lt;=K$79)*(M_CAT=$B91)*ISNUMBER(M_CKDATA)*M_INTYPE)+SUMPRODUCT((B_CKDATE&gt;J$79)*(B_CKDATE&lt;=K$79)*(B_CAT=$B91)*ISNUMBER(B_CKDATA)*B_INTYPE)+SUMPRODUCT((C_CKDATE&gt;J$79)*(C_CKDATE&lt;=K$79)*(C_CAT=$B91)*ISNUMBER(C_CKDATA)*C_INTYPE)),""),"")</f>
        <v/>
      </c>
      <c r="L91" s="302" t="str">
        <f>IF(ISNUMBER(L$78),IFERROR((SUMPRODUCT((P_CKDATE&gt;K$79)*(P_CKDATE&lt;=L$79)*(P_CAT=$B91)*ISNUMBER(P_CKDATA)*P_INTYPE,P_CKDATA)+SUMPRODUCT((W_CKDATE&gt;K$79)*(W_CKDATE&lt;=L$79)*(W_CAT=$B91)*ISNUMBER(W_CKDATA)*W_INTYPE,W_CKDATA)+SUMPRODUCT((M_CKDATE&gt;K$79)*(M_CKDATE&lt;=L$79)*(M_CAT=$B91)*ISNUMBER(M_CKDATA)*M_INTYPE,M_CKDATA)+SUMPRODUCT((B_CKDATE&gt;K$79)*(B_CKDATE&lt;=L$79)*(B_CAT=$B91)*ISNUMBER(B_CKDATA)*B_INTYPE,B_CKDATA)+SUMPRODUCT((C_CKDATE&gt;K$79)*(C_CKDATE&lt;=L$79)*(C_CAT=$B91)*ISNUMBER(C_CKDATA)*C_INTYPE,C_CKDATA))/(SUMPRODUCT((P_CKDATE&gt;K$79)*(P_CKDATE&lt;=L$79)*(P_CAT=$B91)*ISNUMBER(P_CKDATA)*P_INTYPE)+SUMPRODUCT((W_CKDATE&gt;K$79)*(W_CKDATE&lt;=L$79)*(W_CAT=$B91)*ISNUMBER(W_CKDATA)*W_INTYPE)+SUMPRODUCT((M_CKDATE&gt;K$79)*(M_CKDATE&lt;=L$79)*(M_CAT=$B91)*ISNUMBER(M_CKDATA)*M_INTYPE)+SUMPRODUCT((B_CKDATE&gt;K$79)*(B_CKDATE&lt;=L$79)*(B_CAT=$B91)*ISNUMBER(B_CKDATA)*B_INTYPE)+SUMPRODUCT((C_CKDATE&gt;K$79)*(C_CKDATE&lt;=L$79)*(C_CAT=$B91)*ISNUMBER(C_CKDATA)*C_INTYPE)),""),"")</f>
        <v/>
      </c>
      <c r="M91" s="302" t="str">
        <f>IF(ISNUMBER(M$78),IFERROR((SUMPRODUCT((P_CKDATE&gt;L$79)*(P_CKDATE&lt;=M$79)*(P_CAT=$B91)*ISNUMBER(P_CKDATA)*P_INTYPE,P_CKDATA)+SUMPRODUCT((W_CKDATE&gt;L$79)*(W_CKDATE&lt;=M$79)*(W_CAT=$B91)*ISNUMBER(W_CKDATA)*W_INTYPE,W_CKDATA)+SUMPRODUCT((M_CKDATE&gt;L$79)*(M_CKDATE&lt;=M$79)*(M_CAT=$B91)*ISNUMBER(M_CKDATA)*M_INTYPE,M_CKDATA)+SUMPRODUCT((B_CKDATE&gt;L$79)*(B_CKDATE&lt;=M$79)*(B_CAT=$B91)*ISNUMBER(B_CKDATA)*B_INTYPE,B_CKDATA)+SUMPRODUCT((C_CKDATE&gt;L$79)*(C_CKDATE&lt;=M$79)*(C_CAT=$B91)*ISNUMBER(C_CKDATA)*C_INTYPE,C_CKDATA))/(SUMPRODUCT((P_CKDATE&gt;L$79)*(P_CKDATE&lt;=M$79)*(P_CAT=$B91)*ISNUMBER(P_CKDATA)*P_INTYPE)+SUMPRODUCT((W_CKDATE&gt;L$79)*(W_CKDATE&lt;=M$79)*(W_CAT=$B91)*ISNUMBER(W_CKDATA)*W_INTYPE)+SUMPRODUCT((M_CKDATE&gt;L$79)*(M_CKDATE&lt;=M$79)*(M_CAT=$B91)*ISNUMBER(M_CKDATA)*M_INTYPE)+SUMPRODUCT((B_CKDATE&gt;L$79)*(B_CKDATE&lt;=M$79)*(B_CAT=$B91)*ISNUMBER(B_CKDATA)*B_INTYPE)+SUMPRODUCT((C_CKDATE&gt;L$79)*(C_CKDATE&lt;=M$79)*(C_CAT=$B91)*ISNUMBER(C_CKDATA)*C_INTYPE)),""),"")</f>
        <v/>
      </c>
      <c r="N91" s="288"/>
      <c r="O91" s="288"/>
      <c r="P91" s="288"/>
      <c r="Q91" s="288"/>
      <c r="R91" s="288"/>
      <c r="S91" s="288"/>
      <c r="T91" s="288"/>
      <c r="U91" s="288"/>
      <c r="V91" s="288"/>
      <c r="W91" s="288"/>
      <c r="X91" s="288"/>
      <c r="Y91" s="288"/>
      <c r="Z91" s="288"/>
      <c r="AA91" s="288"/>
      <c r="AB91" s="288"/>
      <c r="AC91" s="288"/>
      <c r="AD91" s="288"/>
      <c r="AE91" s="288"/>
      <c r="AF91" s="288"/>
    </row>
    <row r="92" spans="1:32" ht="15" customHeight="1" x14ac:dyDescent="0.2">
      <c r="B92" s="465" t="s">
        <v>380</v>
      </c>
      <c r="C92" s="466"/>
      <c r="D92" s="302" t="str">
        <f>IFERROR((SUMPRODUCT(ISNUMBER(P_CKDATE)*(P_CAT=$B92)*ISNUMBER(P_CKDATA)*P_INTYPE,P_CKDATA)+SUMPRODUCT(ISNUMBER(W_CKDATE)*(W_CAT=$B92)*ISNUMBER(W_CKDATA)*W_INTYPE,W_CKDATA)+SUMPRODUCT(ISNUMBER(M_CKDATE)*(M_CAT=$B92)*ISNUMBER(M_CKDATA)*M_INTYPE,M_CKDATA)+SUMPRODUCT(ISNUMBER(B_CKDATE)*(B_CAT=$B92)*ISNUMBER(B_CKDATA)*B_INTYPE,B_CKDATA)+SUMPRODUCT(ISNUMBER(C_CKDATE)*(C_CAT=$B92)*ISNUMBER(C_CKDATA)*C_INTYPE,C_CKDATA))/(SUMPRODUCT(ISNUMBER(P_CKDATE)*(P_CAT=$B92)*ISNUMBER(P_CKDATA)*P_INTYPE)+SUMPRODUCT(ISNUMBER(W_CKDATE)*(W_CAT=$B92)*ISNUMBER(W_CKDATA)*W_INTYPE)+SUMPRODUCT(ISNUMBER(M_CKDATE)*(M_CAT=$B92)*ISNUMBER(M_CKDATA)*M_INTYPE)+SUMPRODUCT(ISNUMBER(B_CKDATE)*(B_CAT=$B92)*ISNUMBER(B_CKDATA)*B_INTYPE)+SUMPRODUCT(ISNUMBER(C_CKDATE)*(C_CAT=$B92)*ISNUMBER(C_CKDATA)*C_INTYPE)),"")</f>
        <v/>
      </c>
      <c r="E92" s="302" t="str">
        <f>IF(ISNUMBER(E$78),IFERROR((SUMPRODUCT((P_CKDATE&gt;D$79)*(P_CKDATE&lt;=E$79)*(P_CAT=$B92)*ISNUMBER(P_CKDATA)*P_INTYPE,P_CKDATA)+SUMPRODUCT((W_CKDATE&gt;D$79)*(W_CKDATE&lt;=E$79)*(W_CAT=$B92)*ISNUMBER(W_CKDATA)*W_INTYPE,W_CKDATA)+SUMPRODUCT((M_CKDATE&gt;D$79)*(M_CKDATE&lt;=E$79)*(M_CAT=$B92)*ISNUMBER(M_CKDATA)*M_INTYPE,M_CKDATA)+SUMPRODUCT((B_CKDATE&gt;D$79)*(B_CKDATE&lt;=E$79)*(B_CAT=$B92)*ISNUMBER(B_CKDATA)*B_INTYPE,B_CKDATA)+SUMPRODUCT((C_CKDATE&gt;D$79)*(C_CKDATE&lt;=E$79)*(C_CAT=$B92)*ISNUMBER(C_CKDATA)*C_INTYPE,C_CKDATA))/(SUMPRODUCT((P_CKDATE&gt;D$79)*(P_CKDATE&lt;=E$79)*(P_CAT=$B92)*ISNUMBER(P_CKDATA)*P_INTYPE)+SUMPRODUCT((W_CKDATE&gt;D$79)*(W_CKDATE&lt;=E$79)*(W_CAT=$B92)*ISNUMBER(W_CKDATA)*W_INTYPE)+SUMPRODUCT((M_CKDATE&gt;D$79)*(M_CKDATE&lt;=E$79)*(M_CAT=$B92)*ISNUMBER(M_CKDATA)*M_INTYPE)+SUMPRODUCT((B_CKDATE&gt;D$79)*(B_CKDATE&lt;=E$79)*(B_CAT=$B92)*ISNUMBER(B_CKDATA)*B_INTYPE)+SUMPRODUCT((C_CKDATE&gt;D$79)*(C_CKDATE&lt;=E$79)*(C_CAT=$B92)*ISNUMBER(C_CKDATA)*C_INTYPE)),""),"")</f>
        <v/>
      </c>
      <c r="F92" s="302" t="str">
        <f>IF(ISNUMBER(F$78),IFERROR((SUMPRODUCT((P_CKDATE&gt;E$79)*(P_CKDATE&lt;=F$79)*(P_CAT=$B92)*ISNUMBER(P_CKDATA)*P_INTYPE,P_CKDATA)+SUMPRODUCT((W_CKDATE&gt;E$79)*(W_CKDATE&lt;=F$79)*(W_CAT=$B92)*ISNUMBER(W_CKDATA)*W_INTYPE,W_CKDATA)+SUMPRODUCT((M_CKDATE&gt;E$79)*(M_CKDATE&lt;=F$79)*(M_CAT=$B92)*ISNUMBER(M_CKDATA)*M_INTYPE,M_CKDATA)+SUMPRODUCT((B_CKDATE&gt;E$79)*(B_CKDATE&lt;=F$79)*(B_CAT=$B92)*ISNUMBER(B_CKDATA)*B_INTYPE,B_CKDATA)+SUMPRODUCT((C_CKDATE&gt;E$79)*(C_CKDATE&lt;=F$79)*(C_CAT=$B92)*ISNUMBER(C_CKDATA)*C_INTYPE,C_CKDATA))/(SUMPRODUCT((P_CKDATE&gt;E$79)*(P_CKDATE&lt;=F$79)*(P_CAT=$B92)*ISNUMBER(P_CKDATA)*P_INTYPE)+SUMPRODUCT((W_CKDATE&gt;E$79)*(W_CKDATE&lt;=F$79)*(W_CAT=$B92)*ISNUMBER(W_CKDATA)*W_INTYPE)+SUMPRODUCT((M_CKDATE&gt;E$79)*(M_CKDATE&lt;=F$79)*(M_CAT=$B92)*ISNUMBER(M_CKDATA)*M_INTYPE)+SUMPRODUCT((B_CKDATE&gt;E$79)*(B_CKDATE&lt;=F$79)*(B_CAT=$B92)*ISNUMBER(B_CKDATA)*B_INTYPE)+SUMPRODUCT((C_CKDATE&gt;E$79)*(C_CKDATE&lt;=F$79)*(C_CAT=$B92)*ISNUMBER(C_CKDATA)*C_INTYPE)),""),"")</f>
        <v/>
      </c>
      <c r="G92" s="302" t="str">
        <f>IF(ISNUMBER(G$78),IFERROR((SUMPRODUCT((P_CKDATE&gt;F$79)*(P_CKDATE&lt;=G$79)*(P_CAT=$B92)*ISNUMBER(P_CKDATA)*P_INTYPE,P_CKDATA)+SUMPRODUCT((W_CKDATE&gt;F$79)*(W_CKDATE&lt;=G$79)*(W_CAT=$B92)*ISNUMBER(W_CKDATA)*W_INTYPE,W_CKDATA)+SUMPRODUCT((M_CKDATE&gt;F$79)*(M_CKDATE&lt;=G$79)*(M_CAT=$B92)*ISNUMBER(M_CKDATA)*M_INTYPE,M_CKDATA)+SUMPRODUCT((B_CKDATE&gt;F$79)*(B_CKDATE&lt;=G$79)*(B_CAT=$B92)*ISNUMBER(B_CKDATA)*B_INTYPE,B_CKDATA)+SUMPRODUCT((C_CKDATE&gt;F$79)*(C_CKDATE&lt;=G$79)*(C_CAT=$B92)*ISNUMBER(C_CKDATA)*C_INTYPE,C_CKDATA))/(SUMPRODUCT((P_CKDATE&gt;F$79)*(P_CKDATE&lt;=G$79)*(P_CAT=$B92)*ISNUMBER(P_CKDATA)*P_INTYPE)+SUMPRODUCT((W_CKDATE&gt;F$79)*(W_CKDATE&lt;=G$79)*(W_CAT=$B92)*ISNUMBER(W_CKDATA)*W_INTYPE)+SUMPRODUCT((M_CKDATE&gt;F$79)*(M_CKDATE&lt;=G$79)*(M_CAT=$B92)*ISNUMBER(M_CKDATA)*M_INTYPE)+SUMPRODUCT((B_CKDATE&gt;F$79)*(B_CKDATE&lt;=G$79)*(B_CAT=$B92)*ISNUMBER(B_CKDATA)*B_INTYPE)+SUMPRODUCT((C_CKDATE&gt;F$79)*(C_CKDATE&lt;=G$79)*(C_CAT=$B92)*ISNUMBER(C_CKDATA)*C_INTYPE)),""),"")</f>
        <v/>
      </c>
      <c r="H92" s="302" t="str">
        <f>IF(ISNUMBER(H$78),IFERROR((SUMPRODUCT((P_CKDATE&gt;G$79)*(P_CKDATE&lt;=H$79)*(P_CAT=$B92)*ISNUMBER(P_CKDATA)*P_INTYPE,P_CKDATA)+SUMPRODUCT((W_CKDATE&gt;G$79)*(W_CKDATE&lt;=H$79)*(W_CAT=$B92)*ISNUMBER(W_CKDATA)*W_INTYPE,W_CKDATA)+SUMPRODUCT((M_CKDATE&gt;G$79)*(M_CKDATE&lt;=H$79)*(M_CAT=$B92)*ISNUMBER(M_CKDATA)*M_INTYPE,M_CKDATA)+SUMPRODUCT((B_CKDATE&gt;G$79)*(B_CKDATE&lt;=H$79)*(B_CAT=$B92)*ISNUMBER(B_CKDATA)*B_INTYPE,B_CKDATA)+SUMPRODUCT((C_CKDATE&gt;G$79)*(C_CKDATE&lt;=H$79)*(C_CAT=$B92)*ISNUMBER(C_CKDATA)*C_INTYPE,C_CKDATA))/(SUMPRODUCT((P_CKDATE&gt;G$79)*(P_CKDATE&lt;=H$79)*(P_CAT=$B92)*ISNUMBER(P_CKDATA)*P_INTYPE)+SUMPRODUCT((W_CKDATE&gt;G$79)*(W_CKDATE&lt;=H$79)*(W_CAT=$B92)*ISNUMBER(W_CKDATA)*W_INTYPE)+SUMPRODUCT((M_CKDATE&gt;G$79)*(M_CKDATE&lt;=H$79)*(M_CAT=$B92)*ISNUMBER(M_CKDATA)*M_INTYPE)+SUMPRODUCT((B_CKDATE&gt;G$79)*(B_CKDATE&lt;=H$79)*(B_CAT=$B92)*ISNUMBER(B_CKDATA)*B_INTYPE)+SUMPRODUCT((C_CKDATE&gt;G$79)*(C_CKDATE&lt;=H$79)*(C_CAT=$B92)*ISNUMBER(C_CKDATA)*C_INTYPE)),""),"")</f>
        <v/>
      </c>
      <c r="I92" s="302" t="str">
        <f>IF(ISNUMBER(I$78),IFERROR((SUMPRODUCT((P_CKDATE&gt;H$79)*(P_CKDATE&lt;=I$79)*(P_CAT=$B92)*ISNUMBER(P_CKDATA)*P_INTYPE,P_CKDATA)+SUMPRODUCT((W_CKDATE&gt;H$79)*(W_CKDATE&lt;=I$79)*(W_CAT=$B92)*ISNUMBER(W_CKDATA)*W_INTYPE,W_CKDATA)+SUMPRODUCT((M_CKDATE&gt;H$79)*(M_CKDATE&lt;=I$79)*(M_CAT=$B92)*ISNUMBER(M_CKDATA)*M_INTYPE,M_CKDATA)+SUMPRODUCT((B_CKDATE&gt;H$79)*(B_CKDATE&lt;=I$79)*(B_CAT=$B92)*ISNUMBER(B_CKDATA)*B_INTYPE,B_CKDATA)+SUMPRODUCT((C_CKDATE&gt;H$79)*(C_CKDATE&lt;=I$79)*(C_CAT=$B92)*ISNUMBER(C_CKDATA)*C_INTYPE,C_CKDATA))/(SUMPRODUCT((P_CKDATE&gt;H$79)*(P_CKDATE&lt;=I$79)*(P_CAT=$B92)*ISNUMBER(P_CKDATA)*P_INTYPE)+SUMPRODUCT((W_CKDATE&gt;H$79)*(W_CKDATE&lt;=I$79)*(W_CAT=$B92)*ISNUMBER(W_CKDATA)*W_INTYPE)+SUMPRODUCT((M_CKDATE&gt;H$79)*(M_CKDATE&lt;=I$79)*(M_CAT=$B92)*ISNUMBER(M_CKDATA)*M_INTYPE)+SUMPRODUCT((B_CKDATE&gt;H$79)*(B_CKDATE&lt;=I$79)*(B_CAT=$B92)*ISNUMBER(B_CKDATA)*B_INTYPE)+SUMPRODUCT((C_CKDATE&gt;H$79)*(C_CKDATE&lt;=I$79)*(C_CAT=$B92)*ISNUMBER(C_CKDATA)*C_INTYPE)),""),"")</f>
        <v/>
      </c>
      <c r="J92" s="302" t="str">
        <f>IF(ISNUMBER(J$78),IFERROR((SUMPRODUCT((P_CKDATE&gt;I$79)*(P_CKDATE&lt;=J$79)*(P_CAT=$B92)*ISNUMBER(P_CKDATA)*P_INTYPE,P_CKDATA)+SUMPRODUCT((W_CKDATE&gt;I$79)*(W_CKDATE&lt;=J$79)*(W_CAT=$B92)*ISNUMBER(W_CKDATA)*W_INTYPE,W_CKDATA)+SUMPRODUCT((M_CKDATE&gt;I$79)*(M_CKDATE&lt;=J$79)*(M_CAT=$B92)*ISNUMBER(M_CKDATA)*M_INTYPE,M_CKDATA)+SUMPRODUCT((B_CKDATE&gt;I$79)*(B_CKDATE&lt;=J$79)*(B_CAT=$B92)*ISNUMBER(B_CKDATA)*B_INTYPE,B_CKDATA)+SUMPRODUCT((C_CKDATE&gt;I$79)*(C_CKDATE&lt;=J$79)*(C_CAT=$B92)*ISNUMBER(C_CKDATA)*C_INTYPE,C_CKDATA))/(SUMPRODUCT((P_CKDATE&gt;I$79)*(P_CKDATE&lt;=J$79)*(P_CAT=$B92)*ISNUMBER(P_CKDATA)*P_INTYPE)+SUMPRODUCT((W_CKDATE&gt;I$79)*(W_CKDATE&lt;=J$79)*(W_CAT=$B92)*ISNUMBER(W_CKDATA)*W_INTYPE)+SUMPRODUCT((M_CKDATE&gt;I$79)*(M_CKDATE&lt;=J$79)*(M_CAT=$B92)*ISNUMBER(M_CKDATA)*M_INTYPE)+SUMPRODUCT((B_CKDATE&gt;I$79)*(B_CKDATE&lt;=J$79)*(B_CAT=$B92)*ISNUMBER(B_CKDATA)*B_INTYPE)+SUMPRODUCT((C_CKDATE&gt;I$79)*(C_CKDATE&lt;=J$79)*(C_CAT=$B92)*ISNUMBER(C_CKDATA)*C_INTYPE)),""),"")</f>
        <v/>
      </c>
      <c r="K92" s="302" t="str">
        <f>IF(ISNUMBER(K$78),IFERROR((SUMPRODUCT((P_CKDATE&gt;J$79)*(P_CKDATE&lt;=K$79)*(P_CAT=$B92)*ISNUMBER(P_CKDATA)*P_INTYPE,P_CKDATA)+SUMPRODUCT((W_CKDATE&gt;J$79)*(W_CKDATE&lt;=K$79)*(W_CAT=$B92)*ISNUMBER(W_CKDATA)*W_INTYPE,W_CKDATA)+SUMPRODUCT((M_CKDATE&gt;J$79)*(M_CKDATE&lt;=K$79)*(M_CAT=$B92)*ISNUMBER(M_CKDATA)*M_INTYPE,M_CKDATA)+SUMPRODUCT((B_CKDATE&gt;J$79)*(B_CKDATE&lt;=K$79)*(B_CAT=$B92)*ISNUMBER(B_CKDATA)*B_INTYPE,B_CKDATA)+SUMPRODUCT((C_CKDATE&gt;J$79)*(C_CKDATE&lt;=K$79)*(C_CAT=$B92)*ISNUMBER(C_CKDATA)*C_INTYPE,C_CKDATA))/(SUMPRODUCT((P_CKDATE&gt;J$79)*(P_CKDATE&lt;=K$79)*(P_CAT=$B92)*ISNUMBER(P_CKDATA)*P_INTYPE)+SUMPRODUCT((W_CKDATE&gt;J$79)*(W_CKDATE&lt;=K$79)*(W_CAT=$B92)*ISNUMBER(W_CKDATA)*W_INTYPE)+SUMPRODUCT((M_CKDATE&gt;J$79)*(M_CKDATE&lt;=K$79)*(M_CAT=$B92)*ISNUMBER(M_CKDATA)*M_INTYPE)+SUMPRODUCT((B_CKDATE&gt;J$79)*(B_CKDATE&lt;=K$79)*(B_CAT=$B92)*ISNUMBER(B_CKDATA)*B_INTYPE)+SUMPRODUCT((C_CKDATE&gt;J$79)*(C_CKDATE&lt;=K$79)*(C_CAT=$B92)*ISNUMBER(C_CKDATA)*C_INTYPE)),""),"")</f>
        <v/>
      </c>
      <c r="L92" s="302" t="str">
        <f>IF(ISNUMBER(L$78),IFERROR((SUMPRODUCT((P_CKDATE&gt;K$79)*(P_CKDATE&lt;=L$79)*(P_CAT=$B92)*ISNUMBER(P_CKDATA)*P_INTYPE,P_CKDATA)+SUMPRODUCT((W_CKDATE&gt;K$79)*(W_CKDATE&lt;=L$79)*(W_CAT=$B92)*ISNUMBER(W_CKDATA)*W_INTYPE,W_CKDATA)+SUMPRODUCT((M_CKDATE&gt;K$79)*(M_CKDATE&lt;=L$79)*(M_CAT=$B92)*ISNUMBER(M_CKDATA)*M_INTYPE,M_CKDATA)+SUMPRODUCT((B_CKDATE&gt;K$79)*(B_CKDATE&lt;=L$79)*(B_CAT=$B92)*ISNUMBER(B_CKDATA)*B_INTYPE,B_CKDATA)+SUMPRODUCT((C_CKDATE&gt;K$79)*(C_CKDATE&lt;=L$79)*(C_CAT=$B92)*ISNUMBER(C_CKDATA)*C_INTYPE,C_CKDATA))/(SUMPRODUCT((P_CKDATE&gt;K$79)*(P_CKDATE&lt;=L$79)*(P_CAT=$B92)*ISNUMBER(P_CKDATA)*P_INTYPE)+SUMPRODUCT((W_CKDATE&gt;K$79)*(W_CKDATE&lt;=L$79)*(W_CAT=$B92)*ISNUMBER(W_CKDATA)*W_INTYPE)+SUMPRODUCT((M_CKDATE&gt;K$79)*(M_CKDATE&lt;=L$79)*(M_CAT=$B92)*ISNUMBER(M_CKDATA)*M_INTYPE)+SUMPRODUCT((B_CKDATE&gt;K$79)*(B_CKDATE&lt;=L$79)*(B_CAT=$B92)*ISNUMBER(B_CKDATA)*B_INTYPE)+SUMPRODUCT((C_CKDATE&gt;K$79)*(C_CKDATE&lt;=L$79)*(C_CAT=$B92)*ISNUMBER(C_CKDATA)*C_INTYPE)),""),"")</f>
        <v/>
      </c>
      <c r="M92" s="302" t="str">
        <f>IF(ISNUMBER(M$78),IFERROR((SUMPRODUCT((P_CKDATE&gt;L$79)*(P_CKDATE&lt;=M$79)*(P_CAT=$B92)*ISNUMBER(P_CKDATA)*P_INTYPE,P_CKDATA)+SUMPRODUCT((W_CKDATE&gt;L$79)*(W_CKDATE&lt;=M$79)*(W_CAT=$B92)*ISNUMBER(W_CKDATA)*W_INTYPE,W_CKDATA)+SUMPRODUCT((M_CKDATE&gt;L$79)*(M_CKDATE&lt;=M$79)*(M_CAT=$B92)*ISNUMBER(M_CKDATA)*M_INTYPE,M_CKDATA)+SUMPRODUCT((B_CKDATE&gt;L$79)*(B_CKDATE&lt;=M$79)*(B_CAT=$B92)*ISNUMBER(B_CKDATA)*B_INTYPE,B_CKDATA)+SUMPRODUCT((C_CKDATE&gt;L$79)*(C_CKDATE&lt;=M$79)*(C_CAT=$B92)*ISNUMBER(C_CKDATA)*C_INTYPE,C_CKDATA))/(SUMPRODUCT((P_CKDATE&gt;L$79)*(P_CKDATE&lt;=M$79)*(P_CAT=$B92)*ISNUMBER(P_CKDATA)*P_INTYPE)+SUMPRODUCT((W_CKDATE&gt;L$79)*(W_CKDATE&lt;=M$79)*(W_CAT=$B92)*ISNUMBER(W_CKDATA)*W_INTYPE)+SUMPRODUCT((M_CKDATE&gt;L$79)*(M_CKDATE&lt;=M$79)*(M_CAT=$B92)*ISNUMBER(M_CKDATA)*M_INTYPE)+SUMPRODUCT((B_CKDATE&gt;L$79)*(B_CKDATE&lt;=M$79)*(B_CAT=$B92)*ISNUMBER(B_CKDATA)*B_INTYPE)+SUMPRODUCT((C_CKDATE&gt;L$79)*(C_CKDATE&lt;=M$79)*(C_CAT=$B92)*ISNUMBER(C_CKDATA)*C_INTYPE)),""),"")</f>
        <v/>
      </c>
      <c r="N92" s="288"/>
      <c r="O92" s="288"/>
      <c r="P92" s="288"/>
      <c r="Q92" s="288"/>
      <c r="R92" s="288"/>
      <c r="S92" s="288"/>
      <c r="T92" s="288"/>
      <c r="U92" s="288"/>
      <c r="V92" s="288"/>
      <c r="W92" s="288"/>
      <c r="X92" s="288"/>
      <c r="Y92" s="288"/>
      <c r="Z92" s="288"/>
      <c r="AA92" s="288"/>
      <c r="AB92" s="288"/>
      <c r="AC92" s="288"/>
      <c r="AD92" s="288"/>
      <c r="AE92" s="288"/>
      <c r="AF92" s="288"/>
    </row>
    <row r="93" spans="1:32" ht="16.5" customHeight="1" x14ac:dyDescent="0.2">
      <c r="A93" s="215"/>
      <c r="B93" s="469" t="s">
        <v>316</v>
      </c>
      <c r="C93" s="470"/>
      <c r="D93" s="302" t="str">
        <f>IFERROR((SUMPRODUCT(ISNUMBER(P_CKDATE)*ISNUMBER(P_CKDATA)*P_INTYPE,P_CKDATA)+SUMPRODUCT(ISNUMBER(W_CKDATE)*ISNUMBER(W_CKDATA)*W_INTYPE,W_CKDATA)+SUMPRODUCT(ISNUMBER(M_CKDATE)*ISNUMBER(M_CKDATA)*M_INTYPE,M_CKDATA)+SUMPRODUCT(ISNUMBER(B_CKDATE)*ISNUMBER(B_CKDATA)*B_INTYPE,B_CKDATA)+SUMPRODUCT(ISNUMBER(C_CKDATE)*ISNUMBER(C_CKDATA)*C_INTYPE,C_CKDATA))/(SUMPRODUCT(ISNUMBER(P_CKDATE)*ISNUMBER(P_CKDATA)*P_INTYPE)+SUMPRODUCT(ISNUMBER(W_CKDATE)*ISNUMBER(W_CKDATA)*W_INTYPE)+SUMPRODUCT(ISNUMBER(M_CKDATE)*ISNUMBER(M_CKDATA)*M_INTYPE)+SUMPRODUCT(ISNUMBER(B_CKDATE)*ISNUMBER(B_CKDATA)*B_INTYPE)+SUMPRODUCT(ISNUMBER(C_CKDATE)*ISNUMBER(C_CKDATA)*C_INTYPE)),"")</f>
        <v/>
      </c>
      <c r="E93" s="302" t="str">
        <f>IF(ISNUMBER(E$78),IFERROR((SUMPRODUCT((P_CKDATE&gt;D$79)*(P_CKDATE&lt;=E$79)*ISNUMBER(P_CKDATA)*P_INTYPE,P_CKDATA)+SUMPRODUCT((W_CKDATE&gt;D$79)*(W_CKDATE&lt;=E$79)*ISNUMBER(W_CKDATA)*W_INTYPE,W_CKDATA)+SUMPRODUCT((M_CKDATE&gt;D$79)*(M_CKDATE&lt;=E$79)*ISNUMBER(M_CKDATA)*M_INTYPE,M_CKDATA)+SUMPRODUCT((B_CKDATE&gt;D$79)*(B_CKDATE&lt;=E$79)*ISNUMBER(B_CKDATA)*B_INTYPE,B_CKDATA)+SUMPRODUCT((C_CKDATE&gt;D$79)*(C_CKDATE&lt;=E$79)*ISNUMBER(C_CKDATA)*C_INTYPE,C_CKDATA))/(SUMPRODUCT((P_CKDATE&gt;D$79)*(P_CKDATE&lt;=E$79)*ISNUMBER(P_CKDATA)*P_INTYPE)+SUMPRODUCT((W_CKDATE&gt;D$79)*(W_CKDATE&lt;=E$79)*ISNUMBER(W_CKDATA)*W_INTYPE)+SUMPRODUCT((M_CKDATE&gt;D$79)*(M_CKDATE&lt;=E$79)*ISNUMBER(M_CKDATA)*M_INTYPE)+SUMPRODUCT((B_CKDATE&gt;D$79)*(B_CKDATE&lt;=E$79)*ISNUMBER(B_CKDATA)*B_INTYPE)+SUMPRODUCT((C_CKDATE&gt;D$79)*(C_CKDATE&lt;=E$79)*ISNUMBER(C_CKDATA)*C_INTYPE)),""),"")</f>
        <v/>
      </c>
      <c r="F93" s="302" t="str">
        <f>IF(ISNUMBER(F$78),IFERROR((SUMPRODUCT((P_CKDATE&gt;E$79)*(P_CKDATE&lt;=F$79)*ISNUMBER(P_CKDATA)*P_INTYPE,P_CKDATA)+SUMPRODUCT((W_CKDATE&gt;E$79)*(W_CKDATE&lt;=F$79)*ISNUMBER(W_CKDATA)*W_INTYPE,W_CKDATA)+SUMPRODUCT((M_CKDATE&gt;E$79)*(M_CKDATE&lt;=F$79)*ISNUMBER(M_CKDATA)*M_INTYPE,M_CKDATA)+SUMPRODUCT((B_CKDATE&gt;E$79)*(B_CKDATE&lt;=F$79)*ISNUMBER(B_CKDATA)*B_INTYPE,B_CKDATA)+SUMPRODUCT((C_CKDATE&gt;E$79)*(C_CKDATE&lt;=F$79)*ISNUMBER(C_CKDATA)*C_INTYPE,C_CKDATA))/(SUMPRODUCT((P_CKDATE&gt;E$79)*(P_CKDATE&lt;=F$79)*ISNUMBER(P_CKDATA)*P_INTYPE)+SUMPRODUCT((W_CKDATE&gt;E$79)*(W_CKDATE&lt;=F$79)*ISNUMBER(W_CKDATA)*W_INTYPE)+SUMPRODUCT((M_CKDATE&gt;E$79)*(M_CKDATE&lt;=F$79)*ISNUMBER(M_CKDATA)*M_INTYPE)+SUMPRODUCT((B_CKDATE&gt;E$79)*(B_CKDATE&lt;=F$79)*ISNUMBER(B_CKDATA)*B_INTYPE)+SUMPRODUCT((C_CKDATE&gt;E$79)*(C_CKDATE&lt;=F$79)*ISNUMBER(C_CKDATA)*C_INTYPE)),""),"")</f>
        <v/>
      </c>
      <c r="G93" s="302" t="str">
        <f>IF(ISNUMBER(G$78),IFERROR((SUMPRODUCT((P_CKDATE&gt;F$79)*(P_CKDATE&lt;=G$79)*ISNUMBER(P_CKDATA)*P_INTYPE,P_CKDATA)+SUMPRODUCT((W_CKDATE&gt;F$79)*(W_CKDATE&lt;=G$79)*ISNUMBER(W_CKDATA)*W_INTYPE,W_CKDATA)+SUMPRODUCT((M_CKDATE&gt;F$79)*(M_CKDATE&lt;=G$79)*ISNUMBER(M_CKDATA)*M_INTYPE,M_CKDATA)+SUMPRODUCT((B_CKDATE&gt;F$79)*(B_CKDATE&lt;=G$79)*ISNUMBER(B_CKDATA)*B_INTYPE,B_CKDATA)+SUMPRODUCT((C_CKDATE&gt;F$79)*(C_CKDATE&lt;=G$79)*ISNUMBER(C_CKDATA)*C_INTYPE,C_CKDATA))/(SUMPRODUCT((P_CKDATE&gt;F$79)*(P_CKDATE&lt;=G$79)*ISNUMBER(P_CKDATA)*P_INTYPE)+SUMPRODUCT((W_CKDATE&gt;F$79)*(W_CKDATE&lt;=G$79)*ISNUMBER(W_CKDATA)*W_INTYPE)+SUMPRODUCT((M_CKDATE&gt;F$79)*(M_CKDATE&lt;=G$79)*ISNUMBER(M_CKDATA)*M_INTYPE)+SUMPRODUCT((B_CKDATE&gt;F$79)*(B_CKDATE&lt;=G$79)*ISNUMBER(B_CKDATA)*B_INTYPE)+SUMPRODUCT((C_CKDATE&gt;F$79)*(C_CKDATE&lt;=G$79)*ISNUMBER(C_CKDATA)*C_INTYPE)),""),"")</f>
        <v/>
      </c>
      <c r="H93" s="302" t="str">
        <f>IF(ISNUMBER(H$78),IFERROR((SUMPRODUCT((P_CKDATE&gt;G$79)*(P_CKDATE&lt;=H$79)*ISNUMBER(P_CKDATA)*P_INTYPE,P_CKDATA)+SUMPRODUCT((W_CKDATE&gt;G$79)*(W_CKDATE&lt;=H$79)*ISNUMBER(W_CKDATA)*W_INTYPE,W_CKDATA)+SUMPRODUCT((M_CKDATE&gt;G$79)*(M_CKDATE&lt;=H$79)*ISNUMBER(M_CKDATA)*M_INTYPE,M_CKDATA)+SUMPRODUCT((B_CKDATE&gt;G$79)*(B_CKDATE&lt;=H$79)*ISNUMBER(B_CKDATA)*B_INTYPE,B_CKDATA)+SUMPRODUCT((C_CKDATE&gt;G$79)*(C_CKDATE&lt;=H$79)*ISNUMBER(C_CKDATA)*C_INTYPE,C_CKDATA))/(SUMPRODUCT((P_CKDATE&gt;G$79)*(P_CKDATE&lt;=H$79)*ISNUMBER(P_CKDATA)*P_INTYPE)+SUMPRODUCT((W_CKDATE&gt;G$79)*(W_CKDATE&lt;=H$79)*ISNUMBER(W_CKDATA)*W_INTYPE)+SUMPRODUCT((M_CKDATE&gt;G$79)*(M_CKDATE&lt;=H$79)*ISNUMBER(M_CKDATA)*M_INTYPE)+SUMPRODUCT((B_CKDATE&gt;G$79)*(B_CKDATE&lt;=H$79)*ISNUMBER(B_CKDATA)*B_INTYPE)+SUMPRODUCT((C_CKDATE&gt;G$79)*(C_CKDATE&lt;=H$79)*ISNUMBER(C_CKDATA)*C_INTYPE)),""),"")</f>
        <v/>
      </c>
      <c r="I93" s="302" t="str">
        <f>IF(ISNUMBER(I$78),IFERROR((SUMPRODUCT((P_CKDATE&gt;H$79)*(P_CKDATE&lt;=I$79)*ISNUMBER(P_CKDATA)*P_INTYPE,P_CKDATA)+SUMPRODUCT((W_CKDATE&gt;H$79)*(W_CKDATE&lt;=I$79)*ISNUMBER(W_CKDATA)*W_INTYPE,W_CKDATA)+SUMPRODUCT((M_CKDATE&gt;H$79)*(M_CKDATE&lt;=I$79)*ISNUMBER(M_CKDATA)*M_INTYPE,M_CKDATA)+SUMPRODUCT((B_CKDATE&gt;H$79)*(B_CKDATE&lt;=I$79)*ISNUMBER(B_CKDATA)*B_INTYPE,B_CKDATA)+SUMPRODUCT((C_CKDATE&gt;H$79)*(C_CKDATE&lt;=I$79)*ISNUMBER(C_CKDATA)*C_INTYPE,C_CKDATA))/(SUMPRODUCT((P_CKDATE&gt;H$79)*(P_CKDATE&lt;=I$79)*ISNUMBER(P_CKDATA)*P_INTYPE)+SUMPRODUCT((W_CKDATE&gt;H$79)*(W_CKDATE&lt;=I$79)*ISNUMBER(W_CKDATA)*W_INTYPE)+SUMPRODUCT((M_CKDATE&gt;H$79)*(M_CKDATE&lt;=I$79)*ISNUMBER(M_CKDATA)*M_INTYPE)+SUMPRODUCT((B_CKDATE&gt;H$79)*(B_CKDATE&lt;=I$79)*ISNUMBER(B_CKDATA)*B_INTYPE)+SUMPRODUCT((C_CKDATE&gt;H$79)*(C_CKDATE&lt;=I$79)*ISNUMBER(C_CKDATA)*C_INTYPE)),""),"")</f>
        <v/>
      </c>
      <c r="J93" s="302" t="str">
        <f>IF(ISNUMBER(J$78),IFERROR((SUMPRODUCT((P_CKDATE&gt;I$79)*(P_CKDATE&lt;=J$79)*ISNUMBER(P_CKDATA)*P_INTYPE,P_CKDATA)+SUMPRODUCT((W_CKDATE&gt;I$79)*(W_CKDATE&lt;=J$79)*ISNUMBER(W_CKDATA)*W_INTYPE,W_CKDATA)+SUMPRODUCT((M_CKDATE&gt;I$79)*(M_CKDATE&lt;=J$79)*ISNUMBER(M_CKDATA)*M_INTYPE,M_CKDATA)+SUMPRODUCT((B_CKDATE&gt;I$79)*(B_CKDATE&lt;=J$79)*ISNUMBER(B_CKDATA)*B_INTYPE,B_CKDATA)+SUMPRODUCT((C_CKDATE&gt;I$79)*(C_CKDATE&lt;=J$79)*ISNUMBER(C_CKDATA)*C_INTYPE,C_CKDATA))/(SUMPRODUCT((P_CKDATE&gt;I$79)*(P_CKDATE&lt;=J$79)*ISNUMBER(P_CKDATA)*P_INTYPE)+SUMPRODUCT((W_CKDATE&gt;I$79)*(W_CKDATE&lt;=J$79)*ISNUMBER(W_CKDATA)*W_INTYPE)+SUMPRODUCT((M_CKDATE&gt;I$79)*(M_CKDATE&lt;=J$79)*ISNUMBER(M_CKDATA)*M_INTYPE)+SUMPRODUCT((B_CKDATE&gt;I$79)*(B_CKDATE&lt;=J$79)*ISNUMBER(B_CKDATA)*B_INTYPE)+SUMPRODUCT((C_CKDATE&gt;I$79)*(C_CKDATE&lt;=J$79)*ISNUMBER(C_CKDATA)*C_INTYPE)),""),"")</f>
        <v/>
      </c>
      <c r="K93" s="302" t="str">
        <f>IF(ISNUMBER(K$78),IFERROR((SUMPRODUCT((P_CKDATE&gt;J$79)*(P_CKDATE&lt;=K$79)*ISNUMBER(P_CKDATA)*P_INTYPE,P_CKDATA)+SUMPRODUCT((W_CKDATE&gt;J$79)*(W_CKDATE&lt;=K$79)*ISNUMBER(W_CKDATA)*W_INTYPE,W_CKDATA)+SUMPRODUCT((M_CKDATE&gt;J$79)*(M_CKDATE&lt;=K$79)*ISNUMBER(M_CKDATA)*M_INTYPE,M_CKDATA)+SUMPRODUCT((B_CKDATE&gt;J$79)*(B_CKDATE&lt;=K$79)*ISNUMBER(B_CKDATA)*B_INTYPE,B_CKDATA)+SUMPRODUCT((C_CKDATE&gt;J$79)*(C_CKDATE&lt;=K$79)*ISNUMBER(C_CKDATA)*C_INTYPE,C_CKDATA))/(SUMPRODUCT((P_CKDATE&gt;J$79)*(P_CKDATE&lt;=K$79)*ISNUMBER(P_CKDATA)*P_INTYPE)+SUMPRODUCT((W_CKDATE&gt;J$79)*(W_CKDATE&lt;=K$79)*ISNUMBER(W_CKDATA)*W_INTYPE)+SUMPRODUCT((M_CKDATE&gt;J$79)*(M_CKDATE&lt;=K$79)*ISNUMBER(M_CKDATA)*M_INTYPE)+SUMPRODUCT((B_CKDATE&gt;J$79)*(B_CKDATE&lt;=K$79)*ISNUMBER(B_CKDATA)*B_INTYPE)+SUMPRODUCT((C_CKDATE&gt;J$79)*(C_CKDATE&lt;=K$79)*ISNUMBER(C_CKDATA)*C_INTYPE)),""),"")</f>
        <v/>
      </c>
      <c r="L93" s="302" t="str">
        <f>IF(ISNUMBER(L$78),IFERROR((SUMPRODUCT((P_CKDATE&gt;K$79)*(P_CKDATE&lt;=L$79)*ISNUMBER(P_CKDATA)*P_INTYPE,P_CKDATA)+SUMPRODUCT((W_CKDATE&gt;K$79)*(W_CKDATE&lt;=L$79)*ISNUMBER(W_CKDATA)*W_INTYPE,W_CKDATA)+SUMPRODUCT((M_CKDATE&gt;K$79)*(M_CKDATE&lt;=L$79)*ISNUMBER(M_CKDATA)*M_INTYPE,M_CKDATA)+SUMPRODUCT((B_CKDATE&gt;K$79)*(B_CKDATE&lt;=L$79)*ISNUMBER(B_CKDATA)*B_INTYPE,B_CKDATA)+SUMPRODUCT((C_CKDATE&gt;K$79)*(C_CKDATE&lt;=L$79)*ISNUMBER(C_CKDATA)*C_INTYPE,C_CKDATA))/(SUMPRODUCT((P_CKDATE&gt;K$79)*(P_CKDATE&lt;=L$79)*ISNUMBER(P_CKDATA)*P_INTYPE)+SUMPRODUCT((W_CKDATE&gt;K$79)*(W_CKDATE&lt;=L$79)*ISNUMBER(W_CKDATA)*W_INTYPE)+SUMPRODUCT((M_CKDATE&gt;K$79)*(M_CKDATE&lt;=L$79)*ISNUMBER(M_CKDATA)*M_INTYPE)+SUMPRODUCT((B_CKDATE&gt;K$79)*(B_CKDATE&lt;=L$79)*ISNUMBER(B_CKDATA)*B_INTYPE)+SUMPRODUCT((C_CKDATE&gt;K$79)*(C_CKDATE&lt;=L$79)*ISNUMBER(C_CKDATA)*C_INTYPE)),""),"")</f>
        <v/>
      </c>
      <c r="M93" s="302" t="str">
        <f>IF(ISNUMBER(M$78),IFERROR((SUMPRODUCT((P_CKDATE&gt;L$79)*(P_CKDATE&lt;=M$79)*ISNUMBER(P_CKDATA)*P_INTYPE,P_CKDATA)+SUMPRODUCT((W_CKDATE&gt;L$79)*(W_CKDATE&lt;=M$79)*ISNUMBER(W_CKDATA)*W_INTYPE,W_CKDATA)+SUMPRODUCT((M_CKDATE&gt;L$79)*(M_CKDATE&lt;=M$79)*ISNUMBER(M_CKDATA)*M_INTYPE,M_CKDATA)+SUMPRODUCT((B_CKDATE&gt;L$79)*(B_CKDATE&lt;=M$79)*ISNUMBER(B_CKDATA)*B_INTYPE,B_CKDATA)+SUMPRODUCT((C_CKDATE&gt;L$79)*(C_CKDATE&lt;=M$79)*ISNUMBER(C_CKDATA)*C_INTYPE,C_CKDATA))/(SUMPRODUCT((P_CKDATE&gt;L$79)*(P_CKDATE&lt;=M$79)*ISNUMBER(P_CKDATA)*P_INTYPE)+SUMPRODUCT((W_CKDATE&gt;L$79)*(W_CKDATE&lt;=M$79)*ISNUMBER(W_CKDATA)*W_INTYPE)+SUMPRODUCT((M_CKDATE&gt;L$79)*(M_CKDATE&lt;=M$79)*ISNUMBER(M_CKDATA)*M_INTYPE)+SUMPRODUCT((B_CKDATE&gt;L$79)*(B_CKDATE&lt;=M$79)*ISNUMBER(B_CKDATA)*B_INTYPE)+SUMPRODUCT((C_CKDATE&gt;L$79)*(C_CKDATE&lt;=M$79)*ISNUMBER(C_CKDATA)*C_INTYPE)),""),"")</f>
        <v/>
      </c>
      <c r="N93" s="184"/>
      <c r="O93" s="184"/>
      <c r="P93" s="184"/>
      <c r="Q93" s="184"/>
      <c r="R93" s="184"/>
      <c r="S93" s="184"/>
      <c r="T93" s="184"/>
      <c r="U93" s="184"/>
      <c r="V93" s="184"/>
      <c r="W93" s="184"/>
      <c r="X93" s="184"/>
      <c r="Y93" s="184"/>
      <c r="Z93" s="184"/>
      <c r="AA93" s="184"/>
      <c r="AB93" s="184"/>
      <c r="AC93" s="184"/>
      <c r="AD93" s="184"/>
      <c r="AE93" s="184"/>
      <c r="AF93" s="184"/>
    </row>
    <row r="94" spans="1:32" ht="16.5" customHeight="1" x14ac:dyDescent="0.2">
      <c r="A94" s="215"/>
      <c r="B94" s="469" t="s">
        <v>653</v>
      </c>
      <c r="C94" s="470"/>
      <c r="D94" s="302" t="str">
        <f>IF(ISNUMBER(D93),IFERROR(IF(SUMPRODUCT( (D93&gt;=90)* ((ISNUMBER(D80)*1+ISNUMBER(D84)*1+ISNUMBER(D85)*1+ISNUMBER(D86)*1+ISNUMBER(D89)*1+ISNUMBER(D90)*1)&lt;&gt;0)* (  (ISNUMBER(D80)*1+ISNUMBER(D84)*1+ISNUMBER(D85)*1+ISNUMBER(D86)*1+ISNUMBER(D89)*1+ISNUMBER(D90)*1)-  (   (NOT(ISNUMBER(D80))*0+ISNUMBER(D80)*((D80&gt;=80)*0+(D80&lt;80)*1))+   (NOT(ISNUMBER(D84))*0+ISNUMBER(D84)*((D84&gt;=80)*0+(D84&lt;80)*1))+   (NOT(ISNUMBER(D85))*0+ISNUMBER(D85)*((D85&gt;=80)*0+(D85&lt;80)*1))+   (NOT(ISNUMBER(D86))*0+ISNUMBER(D86)*((D86&gt;=80)*0+(D86&lt;80)*1))+   (NOT(ISNUMBER(D89))*0+ISNUMBER(D89)*((D89&gt;=80)*0+(D89&lt;80)*1))+   (NOT(ISNUMBER(D90))*0+ISNUMBER(D90)*((D90&gt;=80)*0+(D90&lt;80)*1))  )=(ISNUMBER(D80)*1+ISNUMBER(D84)*1+ISNUMBER(D85)*1+ISNUMBER(D86)*1+ISNUMBER(D89)*1+ISNUMBER(D90)*1) )*((ISNUMBER(D81)*1+ISNUMBER(D82)*1+ISNUMBER(D83)*1+ISNUMBER(D87)*1+ISNUMBER(D88)*1+ISNUMBER(D92)*1)&lt;&gt;0)* (  (ISNUMBER(D81)*1+ISNUMBER(D82)*1+ISNUMBER(D83)*1+ISNUMBER(D87)*1+ISNUMBER(D88)*1+ISNUMBER(D92)*1)-  (   (NOT(ISNUMBER(D81))*0+ISNUMBER(D81)*((D81&gt;=80)*0+(D81&lt;80)*1))+   (NOT(ISNUMBER(D82))*0+ISNUMBER(D82)*((D82&gt;=80)*0+(D82&lt;80)*1))+   (NOT(ISNUMBER(D83))*0+ISNUMBER(D83)*((D83&gt;=80)*0+(D83&lt;80)*1))+   (NOT(ISNUMBER(D87))*0+ISNUMBER(D87)*((D87&gt;=80)*0+(D87&lt;80)*1))+   (NOT(ISNUMBER(D88))*0+ISNUMBER(D88)*((D88&gt;=80)*0+(D88&lt;80)*1))+   (NOT(ISNUMBER(D92))*0+ISNUMBER(D92)*((D92&gt;=80)*0+(D92&lt;80)*1))  )=(ISNUMBER(D81)*1+ISNUMBER(D82)*1+ISNUMBER(D83)*1+ISNUMBER(D87)*1+ISNUMBER(D88)*1+ISNUMBER(D92)*1) ))&gt;0,3,IF(SUMPRODUCT( (D93&gt;=90)* ((ISNUMBER(D81)*1+ISNUMBER(D82)*1+ISNUMBER(D83)*1+ISNUMBER(D87)*1+ISNUMBER(D88)*1+ISNUMBER(D92)*1)&lt;&gt;0)* (  (ISNUMBER(D81)*1+ISNUMBER(D82)*1+ISNUMBER(D83)*1+ISNUMBER(D87)*1+ISNUMBER(D88)*1+ISNUMBER(D92)*1)-  (   (NOT(ISNUMBER(D81))*0+ISNUMBER(D81)*((D81&gt;=80)*0+(D81&lt;80)*1))+   (NOT(ISNUMBER(D82))*0+ISNUMBER(D82)*((D82&gt;=80)*0+(D82&lt;80)*1))+   (NOT(ISNUMBER(D83))*0+ISNUMBER(D83)*((D83&gt;=80)*0+(D83&lt;80)*1))+   (NOT(ISNUMBER(D87))*0+ISNUMBER(D87)*((D87&gt;=80)*0+(D87&lt;80)*1))+   (NOT(ISNUMBER(D88))*0+ISNUMBER(D88)*((D88&gt;=80)*0+(D88&lt;80)*1))+   (NOT(ISNUMBER(D92))*0+ISNUMBER(D92)*((D92&gt;=80)*0+(D92&lt;80)*1))  )=(ISNUMBER(D81)*1+ISNUMBER(D82)*1+ISNUMBER(D83)*1+ISNUMBER(D87)*1+ISNUMBER(D88)*1+ISNUMBER(D92)*1) ))&gt;0,2,0)),""),"")</f>
        <v/>
      </c>
      <c r="E94" s="302" t="str">
        <f>IF(ISNUMBER(E93),IFERROR(IF(SUMPRODUCT( (E93&gt;=90)* ((ISNUMBER(E80)*1+ISNUMBER(E84)*1+ISNUMBER(E85)*1+ISNUMBER(E86)*1+ISNUMBER(E89)*1+ISNUMBER(E90)*1)&lt;&gt;0)* (  (ISNUMBER(E80)*1+ISNUMBER(E84)*1+ISNUMBER(E85)*1+ISNUMBER(E86)*1+ISNUMBER(E89)*1+ISNUMBER(E90)*1)-  (   (NOT(ISNUMBER(E80))*0+ISNUMBER(E80)*((E80&gt;=80)*0+(E80&lt;80)*1))+   (NOT(ISNUMBER(E84))*0+ISNUMBER(E84)*((E84&gt;=80)*0+(E84&lt;80)*1))+   (NOT(ISNUMBER(E85))*0+ISNUMBER(E85)*((E85&gt;=80)*0+(E85&lt;80)*1))+   (NOT(ISNUMBER(E86))*0+ISNUMBER(E86)*((E86&gt;=80)*0+(E86&lt;80)*1))+   (NOT(ISNUMBER(E89))*0+ISNUMBER(E89)*((E89&gt;=80)*0+(E89&lt;80)*1))+   (NOT(ISNUMBER(E90))*0+ISNUMBER(E90)*((E90&gt;=80)*0+(E90&lt;80)*1))  )=(ISNUMBER(E80)*1+ISNUMBER(E84)*1+ISNUMBER(E85)*1+ISNUMBER(E86)*1+ISNUMBER(E89)*1+ISNUMBER(E90)*1) )*((ISNUMBER(E81)*1+ISNUMBER(E82)*1+ISNUMBER(E83)*1+ISNUMBER(E87)*1+ISNUMBER(E88)*1+ISNUMBER(E92)*1)&lt;&gt;0)* (  (ISNUMBER(E81)*1+ISNUMBER(E82)*1+ISNUMBER(E83)*1+ISNUMBER(E87)*1+ISNUMBER(E88)*1+ISNUMBER(E92)*1)-  (   (NOT(ISNUMBER(E81))*0+ISNUMBER(E81)*((E81&gt;=80)*0+(E81&lt;80)*1))+   (NOT(ISNUMBER(E82))*0+ISNUMBER(E82)*((E82&gt;=80)*0+(E82&lt;80)*1))+   (NOT(ISNUMBER(E83))*0+ISNUMBER(E83)*((E83&gt;=80)*0+(E83&lt;80)*1))+   (NOT(ISNUMBER(E87))*0+ISNUMBER(E87)*((E87&gt;=80)*0+(E87&lt;80)*1))+   (NOT(ISNUMBER(E88))*0+ISNUMBER(E88)*((E88&gt;=80)*0+(E88&lt;80)*1))+   (NOT(ISNUMBER(E92))*0+ISNUMBER(E92)*((E92&gt;=80)*0+(E92&lt;80)*1))  )=(ISNUMBER(E81)*1+ISNUMBER(E82)*1+ISNUMBER(E83)*1+ISNUMBER(E87)*1+ISNUMBER(E88)*1+ISNUMBER(E92)*1) ))&gt;0,3,IF(SUMPRODUCT( (E93&gt;=90)* ((ISNUMBER(E81)*1+ISNUMBER(E82)*1+ISNUMBER(E83)*1+ISNUMBER(E87)*1+ISNUMBER(E88)*1+ISNUMBER(E92)*1)&lt;&gt;0)* (  (ISNUMBER(E81)*1+ISNUMBER(E82)*1+ISNUMBER(E83)*1+ISNUMBER(E87)*1+ISNUMBER(E88)*1+ISNUMBER(E92)*1)-  (   (NOT(ISNUMBER(E81))*0+ISNUMBER(E81)*((E81&gt;=80)*0+(E81&lt;80)*1))+   (NOT(ISNUMBER(E82))*0+ISNUMBER(E82)*((E82&gt;=80)*0+(E82&lt;80)*1))+   (NOT(ISNUMBER(E83))*0+ISNUMBER(E83)*((E83&gt;=80)*0+(E83&lt;80)*1))+   (NOT(ISNUMBER(E87))*0+ISNUMBER(E87)*((E87&gt;=80)*0+(E87&lt;80)*1))+   (NOT(ISNUMBER(E88))*0+ISNUMBER(E88)*((E88&gt;=80)*0+(E88&lt;80)*1))+   (NOT(ISNUMBER(E92))*0+ISNUMBER(E92)*((E92&gt;=80)*0+(E92&lt;80)*1))  )=(ISNUMBER(E81)*1+ISNUMBER(E82)*1+ISNUMBER(E83)*1+ISNUMBER(E87)*1+ISNUMBER(E88)*1+ISNUMBER(E92)*1) ))&gt;0,2,0)),""),"")</f>
        <v/>
      </c>
      <c r="F94" s="302" t="str">
        <f>IF(ISNUMBER(F93),IFERROR(IF(SUMPRODUCT( (F93&gt;=90)* ((ISNUMBER(F80)*1+ISNUMBER(F84)*1+ISNUMBER(F85)*1+ISNUMBER(F86)*1+ISNUMBER(F89)*1+ISNUMBER(F90)*1)&lt;&gt;0)* (  (ISNUMBER(F80)*1+ISNUMBER(F84)*1+ISNUMBER(F85)*1+ISNUMBER(F86)*1+ISNUMBER(F89)*1+ISNUMBER(F90)*1)-  (   (NOT(ISNUMBER(F80))*0+ISNUMBER(F80)*((F80&gt;=80)*0+(F80&lt;80)*1))+   (NOT(ISNUMBER(F84))*0+ISNUMBER(F84)*((F84&gt;=80)*0+(F84&lt;80)*1))+   (NOT(ISNUMBER(F85))*0+ISNUMBER(F85)*((F85&gt;=80)*0+(F85&lt;80)*1))+   (NOT(ISNUMBER(F86))*0+ISNUMBER(F86)*((F86&gt;=80)*0+(F86&lt;80)*1))+   (NOT(ISNUMBER(F89))*0+ISNUMBER(F89)*((F89&gt;=80)*0+(F89&lt;80)*1))+   (NOT(ISNUMBER(F90))*0+ISNUMBER(F90)*((F90&gt;=80)*0+(F90&lt;80)*1))  )=(ISNUMBER(F80)*1+ISNUMBER(F84)*1+ISNUMBER(F85)*1+ISNUMBER(F86)*1+ISNUMBER(F89)*1+ISNUMBER(F90)*1) )*((ISNUMBER(F81)*1+ISNUMBER(F82)*1+ISNUMBER(F83)*1+ISNUMBER(F87)*1+ISNUMBER(F88)*1+ISNUMBER(F92)*1)&lt;&gt;0)* (  (ISNUMBER(F81)*1+ISNUMBER(F82)*1+ISNUMBER(F83)*1+ISNUMBER(F87)*1+ISNUMBER(F88)*1+ISNUMBER(F92)*1)-  (   (NOT(ISNUMBER(F81))*0+ISNUMBER(F81)*((F81&gt;=80)*0+(F81&lt;80)*1))+   (NOT(ISNUMBER(F82))*0+ISNUMBER(F82)*((F82&gt;=80)*0+(F82&lt;80)*1))+   (NOT(ISNUMBER(F83))*0+ISNUMBER(F83)*((F83&gt;=80)*0+(F83&lt;80)*1))+   (NOT(ISNUMBER(F87))*0+ISNUMBER(F87)*((F87&gt;=80)*0+(F87&lt;80)*1))+   (NOT(ISNUMBER(F88))*0+ISNUMBER(F88)*((F88&gt;=80)*0+(F88&lt;80)*1))+   (NOT(ISNUMBER(F92))*0+ISNUMBER(F92)*((F92&gt;=80)*0+(F92&lt;80)*1))  )=(ISNUMBER(F81)*1+ISNUMBER(F82)*1+ISNUMBER(F83)*1+ISNUMBER(F87)*1+ISNUMBER(F88)*1+ISNUMBER(F92)*1) ))&gt;0,3,IF(SUMPRODUCT( (F93&gt;=90)* ((ISNUMBER(F81)*1+ISNUMBER(F82)*1+ISNUMBER(F83)*1+ISNUMBER(F87)*1+ISNUMBER(F88)*1+ISNUMBER(F92)*1)&lt;&gt;0)* (  (ISNUMBER(F81)*1+ISNUMBER(F82)*1+ISNUMBER(F83)*1+ISNUMBER(F87)*1+ISNUMBER(F88)*1+ISNUMBER(F92)*1)-  (   (NOT(ISNUMBER(F81))*0+ISNUMBER(F81)*((F81&gt;=80)*0+(F81&lt;80)*1))+   (NOT(ISNUMBER(F82))*0+ISNUMBER(F82)*((F82&gt;=80)*0+(F82&lt;80)*1))+   (NOT(ISNUMBER(F83))*0+ISNUMBER(F83)*((F83&gt;=80)*0+(F83&lt;80)*1))+   (NOT(ISNUMBER(F87))*0+ISNUMBER(F87)*((F87&gt;=80)*0+(F87&lt;80)*1))+   (NOT(ISNUMBER(F88))*0+ISNUMBER(F88)*((F88&gt;=80)*0+(F88&lt;80)*1))+   (NOT(ISNUMBER(F92))*0+ISNUMBER(F92)*((F92&gt;=80)*0+(F92&lt;80)*1))  )=(ISNUMBER(F81)*1+ISNUMBER(F82)*1+ISNUMBER(F83)*1+ISNUMBER(F87)*1+ISNUMBER(F88)*1+ISNUMBER(F92)*1) ))&gt;0,2,0)),""),"")</f>
        <v/>
      </c>
      <c r="G94" s="302" t="str">
        <f t="shared" ref="G94:M94" si="5">IF(ISNUMBER(G93),IFERROR(IF(SUMPRODUCT( (G93&gt;=90)* ((ISNUMBER(G80)*1+ISNUMBER(G84)*1+ISNUMBER(G85)*1+ISNUMBER(G86)*1+ISNUMBER(G89)*1+ISNUMBER(G90)*1)&lt;&gt;0)* (  (ISNUMBER(G80)*1+ISNUMBER(G84)*1+ISNUMBER(G85)*1+ISNUMBER(G86)*1+ISNUMBER(G89)*1+ISNUMBER(G90)*1)-  (   (NOT(ISNUMBER(G80))*0+ISNUMBER(G80)*((G80&gt;=80)*0+(G80&lt;80)*1))+   (NOT(ISNUMBER(G84))*0+ISNUMBER(G84)*((G84&gt;=80)*0+(G84&lt;80)*1))+   (NOT(ISNUMBER(G85))*0+ISNUMBER(G85)*((G85&gt;=80)*0+(G85&lt;80)*1))+   (NOT(ISNUMBER(G86))*0+ISNUMBER(G86)*((G86&gt;=80)*0+(G86&lt;80)*1))+   (NOT(ISNUMBER(G89))*0+ISNUMBER(G89)*((G89&gt;=80)*0+(G89&lt;80)*1))+   (NOT(ISNUMBER(G90))*0+ISNUMBER(G90)*((G90&gt;=80)*0+(G90&lt;80)*1))  )=(ISNUMBER(G80)*1+ISNUMBER(G84)*1+ISNUMBER(G85)*1+ISNUMBER(G86)*1+ISNUMBER(G89)*1+ISNUMBER(G90)*1) )*((ISNUMBER(G81)*1+ISNUMBER(G82)*1+ISNUMBER(G83)*1+ISNUMBER(G87)*1+ISNUMBER(G88)*1+ISNUMBER(G92)*1)&lt;&gt;0)* (  (ISNUMBER(G81)*1+ISNUMBER(G82)*1+ISNUMBER(G83)*1+ISNUMBER(G87)*1+ISNUMBER(G88)*1+ISNUMBER(G92)*1)-  (   (NOT(ISNUMBER(G81))*0+ISNUMBER(G81)*((G81&gt;=80)*0+(G81&lt;80)*1))+   (NOT(ISNUMBER(G82))*0+ISNUMBER(G82)*((G82&gt;=80)*0+(G82&lt;80)*1))+   (NOT(ISNUMBER(G83))*0+ISNUMBER(G83)*((G83&gt;=80)*0+(G83&lt;80)*1))+   (NOT(ISNUMBER(G87))*0+ISNUMBER(G87)*((G87&gt;=80)*0+(G87&lt;80)*1))+   (NOT(ISNUMBER(G88))*0+ISNUMBER(G88)*((G88&gt;=80)*0+(G88&lt;80)*1))+   (NOT(ISNUMBER(G92))*0+ISNUMBER(G92)*((G92&gt;=80)*0+(G92&lt;80)*1))  )=(ISNUMBER(G81)*1+ISNUMBER(G82)*1+ISNUMBER(G83)*1+ISNUMBER(G87)*1+ISNUMBER(G88)*1+ISNUMBER(G92)*1) ))&gt;0,3,IF(SUMPRODUCT( (G93&gt;=90)* ((ISNUMBER(G81)*1+ISNUMBER(G82)*1+ISNUMBER(G83)*1+ISNUMBER(G87)*1+ISNUMBER(G88)*1+ISNUMBER(G92)*1)&lt;&gt;0)* (  (ISNUMBER(G81)*1+ISNUMBER(G82)*1+ISNUMBER(G83)*1+ISNUMBER(G87)*1+ISNUMBER(G88)*1+ISNUMBER(G92)*1)-  (   (NOT(ISNUMBER(G81))*0+ISNUMBER(G81)*((G81&gt;=80)*0+(G81&lt;80)*1))+   (NOT(ISNUMBER(G82))*0+ISNUMBER(G82)*((G82&gt;=80)*0+(G82&lt;80)*1))+   (NOT(ISNUMBER(G83))*0+ISNUMBER(G83)*((G83&gt;=80)*0+(G83&lt;80)*1))+   (NOT(ISNUMBER(G87))*0+ISNUMBER(G87)*((G87&gt;=80)*0+(G87&lt;80)*1))+   (NOT(ISNUMBER(G88))*0+ISNUMBER(G88)*((G88&gt;=80)*0+(G88&lt;80)*1))+   (NOT(ISNUMBER(G92))*0+ISNUMBER(G92)*((G92&gt;=80)*0+(G92&lt;80)*1))  )=(ISNUMBER(G81)*1+ISNUMBER(G82)*1+ISNUMBER(G83)*1+ISNUMBER(G87)*1+ISNUMBER(G88)*1+ISNUMBER(G92)*1) ))&gt;0,2,0)),""),"")</f>
        <v/>
      </c>
      <c r="H94" s="302" t="str">
        <f t="shared" si="5"/>
        <v/>
      </c>
      <c r="I94" s="302" t="str">
        <f t="shared" si="5"/>
        <v/>
      </c>
      <c r="J94" s="302" t="str">
        <f t="shared" si="5"/>
        <v/>
      </c>
      <c r="K94" s="302" t="str">
        <f t="shared" si="5"/>
        <v/>
      </c>
      <c r="L94" s="302" t="str">
        <f t="shared" si="5"/>
        <v/>
      </c>
      <c r="M94" s="302" t="str">
        <f t="shared" si="5"/>
        <v/>
      </c>
      <c r="N94" s="184"/>
      <c r="O94" s="184"/>
      <c r="P94" s="184"/>
      <c r="Q94" s="184"/>
      <c r="R94" s="184"/>
      <c r="S94" s="184"/>
      <c r="T94" s="184"/>
      <c r="U94" s="184"/>
      <c r="V94" s="184"/>
      <c r="W94" s="184"/>
      <c r="X94" s="184"/>
      <c r="Y94" s="184"/>
      <c r="Z94" s="184"/>
      <c r="AA94" s="184"/>
      <c r="AB94" s="184"/>
      <c r="AC94" s="184"/>
      <c r="AD94" s="184"/>
      <c r="AE94" s="184"/>
      <c r="AF94" s="184"/>
    </row>
    <row r="95" spans="1:32" x14ac:dyDescent="0.2">
      <c r="A95" s="215"/>
      <c r="B95" s="215"/>
      <c r="C95" s="289"/>
      <c r="D95" s="289"/>
      <c r="E95" s="215"/>
      <c r="F95" s="215"/>
      <c r="G95" s="215"/>
    </row>
    <row r="96" spans="1:32" ht="15" customHeight="1" x14ac:dyDescent="0.2">
      <c r="B96" s="467" t="s">
        <v>266</v>
      </c>
      <c r="C96" s="467"/>
      <c r="D96" s="467"/>
      <c r="E96" s="281"/>
      <c r="F96" s="281"/>
      <c r="G96" s="281"/>
      <c r="H96" s="281"/>
      <c r="I96" s="281"/>
      <c r="J96" s="281"/>
      <c r="K96" s="281"/>
      <c r="L96" s="281"/>
      <c r="M96" s="281"/>
      <c r="N96" s="281"/>
      <c r="O96" s="281"/>
      <c r="P96" s="281"/>
      <c r="Q96" s="281"/>
      <c r="R96" s="281"/>
      <c r="S96" s="281"/>
      <c r="T96" s="281"/>
      <c r="U96" s="281"/>
      <c r="V96" s="281"/>
      <c r="W96" s="281"/>
      <c r="X96" s="281"/>
      <c r="Y96" s="281"/>
      <c r="Z96" s="281"/>
      <c r="AA96" s="281"/>
      <c r="AB96" s="281"/>
      <c r="AC96" s="281"/>
      <c r="AD96" s="281"/>
      <c r="AE96" s="281"/>
      <c r="AF96" s="184"/>
    </row>
    <row r="97" spans="1:32" ht="15" customHeight="1" x14ac:dyDescent="0.2">
      <c r="B97" s="290" t="s">
        <v>258</v>
      </c>
      <c r="C97" s="291"/>
      <c r="D97" s="291"/>
      <c r="E97" s="281"/>
      <c r="F97" s="281"/>
      <c r="G97" s="281"/>
      <c r="H97" s="281"/>
      <c r="I97" s="281"/>
      <c r="J97" s="281"/>
      <c r="K97" s="281"/>
      <c r="L97" s="281"/>
      <c r="M97" s="281"/>
      <c r="N97" s="281"/>
      <c r="O97" s="281"/>
      <c r="P97" s="281"/>
      <c r="Q97" s="281"/>
      <c r="R97" s="281"/>
      <c r="S97" s="281"/>
      <c r="T97" s="281"/>
      <c r="U97" s="281"/>
      <c r="V97" s="281"/>
      <c r="W97" s="281"/>
      <c r="X97" s="281"/>
      <c r="Y97" s="281"/>
      <c r="Z97" s="281"/>
      <c r="AA97" s="281"/>
      <c r="AB97" s="281"/>
      <c r="AC97" s="281"/>
      <c r="AD97" s="281"/>
      <c r="AE97" s="281"/>
      <c r="AF97" s="184"/>
    </row>
    <row r="98" spans="1:32" ht="13.5" thickBot="1" x14ac:dyDescent="0.25">
      <c r="B98" s="290"/>
      <c r="E98" s="184"/>
      <c r="F98" s="184"/>
      <c r="G98" s="184"/>
      <c r="H98" s="184"/>
      <c r="I98" s="184"/>
      <c r="J98" s="184"/>
      <c r="K98" s="184"/>
      <c r="L98" s="184"/>
      <c r="M98" s="184"/>
      <c r="N98" s="184"/>
      <c r="O98" s="184"/>
      <c r="P98" s="184"/>
      <c r="Q98" s="184"/>
      <c r="R98" s="184"/>
      <c r="S98" s="184"/>
      <c r="T98" s="184"/>
      <c r="U98" s="184"/>
      <c r="V98" s="184"/>
      <c r="W98" s="184"/>
      <c r="X98" s="184"/>
      <c r="Y98" s="184"/>
      <c r="Z98" s="184"/>
      <c r="AA98" s="184"/>
      <c r="AB98" s="184"/>
      <c r="AC98" s="184"/>
      <c r="AD98" s="184"/>
      <c r="AE98" s="184"/>
      <c r="AF98" s="184"/>
    </row>
    <row r="99" spans="1:32" s="295" customFormat="1" ht="25.5" x14ac:dyDescent="0.2">
      <c r="A99" s="292" t="s">
        <v>407</v>
      </c>
      <c r="B99" s="293" t="s">
        <v>408</v>
      </c>
      <c r="C99" s="293" t="s">
        <v>409</v>
      </c>
      <c r="D99" s="293" t="s">
        <v>410</v>
      </c>
      <c r="E99" s="293" t="s">
        <v>411</v>
      </c>
      <c r="F99" s="293" t="s">
        <v>255</v>
      </c>
      <c r="G99" s="293" t="s">
        <v>412</v>
      </c>
      <c r="H99" s="293" t="s">
        <v>413</v>
      </c>
      <c r="I99" s="293" t="s">
        <v>414</v>
      </c>
      <c r="J99" s="293" t="s">
        <v>415</v>
      </c>
      <c r="K99" s="294" t="s">
        <v>319</v>
      </c>
      <c r="L99" s="294" t="s">
        <v>320</v>
      </c>
      <c r="M99" s="294" t="s">
        <v>416</v>
      </c>
    </row>
    <row r="100" spans="1:32" s="296" customFormat="1" x14ac:dyDescent="0.2">
      <c r="A100" s="57"/>
      <c r="B100" s="58"/>
      <c r="C100" s="59"/>
      <c r="D100" s="60"/>
      <c r="E100" s="61"/>
      <c r="F100" s="60"/>
      <c r="G100" s="62"/>
      <c r="H100" s="63"/>
      <c r="I100" s="58"/>
      <c r="J100" s="58"/>
      <c r="K100" s="58"/>
      <c r="L100" s="58"/>
      <c r="M100" s="58"/>
    </row>
    <row r="101" spans="1:32" s="296" customFormat="1" x14ac:dyDescent="0.2">
      <c r="A101" s="57"/>
      <c r="B101" s="58"/>
      <c r="C101" s="59"/>
      <c r="D101" s="60"/>
      <c r="E101" s="61"/>
      <c r="F101" s="60"/>
      <c r="G101" s="62"/>
      <c r="H101" s="63"/>
      <c r="I101" s="58"/>
      <c r="J101" s="58"/>
      <c r="K101" s="58"/>
      <c r="L101" s="58"/>
      <c r="M101" s="58"/>
    </row>
    <row r="102" spans="1:32" s="296" customFormat="1" x14ac:dyDescent="0.2">
      <c r="A102" s="57"/>
      <c r="B102" s="58"/>
      <c r="C102" s="59"/>
      <c r="D102" s="60"/>
      <c r="E102" s="61"/>
      <c r="F102" s="60"/>
      <c r="G102" s="62"/>
      <c r="H102" s="63"/>
      <c r="I102" s="58"/>
      <c r="J102" s="58"/>
      <c r="K102" s="58"/>
      <c r="L102" s="58"/>
      <c r="M102" s="58"/>
    </row>
    <row r="103" spans="1:32" s="296" customFormat="1" x14ac:dyDescent="0.2">
      <c r="A103" s="57"/>
      <c r="B103" s="58"/>
      <c r="C103" s="59"/>
      <c r="D103" s="60"/>
      <c r="E103" s="61"/>
      <c r="F103" s="60"/>
      <c r="G103" s="62"/>
      <c r="H103" s="63"/>
      <c r="I103" s="58"/>
      <c r="J103" s="58"/>
      <c r="K103" s="58"/>
      <c r="L103" s="58"/>
      <c r="M103" s="58"/>
    </row>
    <row r="104" spans="1:32" s="296" customFormat="1" x14ac:dyDescent="0.2">
      <c r="A104" s="57"/>
      <c r="B104" s="58"/>
      <c r="C104" s="59"/>
      <c r="D104" s="60"/>
      <c r="E104" s="61"/>
      <c r="F104" s="60"/>
      <c r="G104" s="62"/>
      <c r="H104" s="63"/>
      <c r="I104" s="58"/>
      <c r="J104" s="58"/>
      <c r="K104" s="58"/>
      <c r="L104" s="58"/>
      <c r="M104" s="58"/>
    </row>
    <row r="105" spans="1:32" s="297" customFormat="1" x14ac:dyDescent="0.2">
      <c r="A105" s="57"/>
      <c r="B105" s="58"/>
      <c r="C105" s="59"/>
      <c r="D105" s="60"/>
      <c r="E105" s="61"/>
      <c r="F105" s="60"/>
      <c r="G105" s="62"/>
      <c r="H105" s="63"/>
      <c r="I105" s="58"/>
      <c r="J105" s="58"/>
      <c r="K105" s="58"/>
      <c r="L105" s="58"/>
      <c r="M105" s="58"/>
    </row>
    <row r="106" spans="1:32" s="297" customFormat="1" x14ac:dyDescent="0.2">
      <c r="A106" s="57"/>
      <c r="B106" s="58"/>
      <c r="C106" s="59"/>
      <c r="D106" s="60"/>
      <c r="E106" s="61"/>
      <c r="F106" s="60"/>
      <c r="G106" s="62"/>
      <c r="H106" s="63"/>
      <c r="I106" s="58"/>
      <c r="J106" s="58"/>
      <c r="K106" s="58"/>
      <c r="L106" s="58"/>
      <c r="M106" s="58"/>
    </row>
    <row r="107" spans="1:32" s="297" customFormat="1" x14ac:dyDescent="0.2">
      <c r="A107" s="57"/>
      <c r="B107" s="58"/>
      <c r="C107" s="59"/>
      <c r="D107" s="60"/>
      <c r="E107" s="61"/>
      <c r="F107" s="60"/>
      <c r="G107" s="62"/>
      <c r="H107" s="63"/>
      <c r="I107" s="58"/>
      <c r="J107" s="58"/>
      <c r="K107" s="58"/>
      <c r="L107" s="58"/>
      <c r="M107" s="58"/>
    </row>
    <row r="108" spans="1:32" s="297" customFormat="1" x14ac:dyDescent="0.2">
      <c r="A108" s="57"/>
      <c r="B108" s="58"/>
      <c r="C108" s="59"/>
      <c r="D108" s="60"/>
      <c r="E108" s="61"/>
      <c r="F108" s="60"/>
      <c r="G108" s="62"/>
      <c r="H108" s="63"/>
      <c r="I108" s="58"/>
      <c r="J108" s="58"/>
      <c r="K108" s="58"/>
      <c r="L108" s="58"/>
      <c r="M108" s="58"/>
    </row>
    <row r="109" spans="1:32" s="297" customFormat="1" x14ac:dyDescent="0.2">
      <c r="A109" s="64"/>
      <c r="B109" s="65"/>
      <c r="C109" s="66"/>
      <c r="D109" s="67"/>
      <c r="E109" s="61"/>
      <c r="F109" s="67"/>
      <c r="G109" s="68"/>
      <c r="H109" s="63"/>
      <c r="I109" s="65"/>
      <c r="J109" s="65"/>
      <c r="K109" s="65"/>
      <c r="L109" s="65"/>
      <c r="M109" s="65"/>
    </row>
    <row r="110" spans="1:32" s="297" customFormat="1" ht="12.75" customHeight="1" thickBot="1" x14ac:dyDescent="0.25">
      <c r="A110" s="298" t="s">
        <v>315</v>
      </c>
      <c r="B110" s="299"/>
      <c r="C110" s="299"/>
      <c r="D110" s="299"/>
      <c r="E110" s="299"/>
      <c r="F110" s="299"/>
      <c r="G110" s="299"/>
      <c r="H110" s="299"/>
      <c r="I110" s="299"/>
      <c r="J110" s="299"/>
      <c r="K110" s="299"/>
      <c r="L110" s="299"/>
      <c r="M110" s="300"/>
    </row>
  </sheetData>
  <sheetProtection formatCells="0" formatColumns="0" formatRows="0" insertColumns="0" insertRows="0" insertHyperlinks="0" deleteColumns="0" deleteRows="0" sort="0" autoFilter="0" pivotTables="0"/>
  <mergeCells count="70">
    <mergeCell ref="AQ8:AR8"/>
    <mergeCell ref="AU8:AV8"/>
    <mergeCell ref="AC8:AD8"/>
    <mergeCell ref="AH8:AI8"/>
    <mergeCell ref="AM8:AN8"/>
    <mergeCell ref="AQ2:AR2"/>
    <mergeCell ref="AU7:AV7"/>
    <mergeCell ref="AM2:AN2"/>
    <mergeCell ref="AC2:AD2"/>
    <mergeCell ref="U6:V6"/>
    <mergeCell ref="Y7:Z7"/>
    <mergeCell ref="U7:V7"/>
    <mergeCell ref="Q2:R2"/>
    <mergeCell ref="AC7:AD7"/>
    <mergeCell ref="Y6:Z6"/>
    <mergeCell ref="AC6:AD6"/>
    <mergeCell ref="AU6:AV6"/>
    <mergeCell ref="AQ6:AR6"/>
    <mergeCell ref="AH6:AI6"/>
    <mergeCell ref="AM7:AN7"/>
    <mergeCell ref="AM6:AN6"/>
    <mergeCell ref="AH7:AI7"/>
    <mergeCell ref="Q7:R7"/>
    <mergeCell ref="AQ7:AR7"/>
    <mergeCell ref="U2:V2"/>
    <mergeCell ref="AH2:AI2"/>
    <mergeCell ref="Y2:Z2"/>
    <mergeCell ref="AU2:AV2"/>
    <mergeCell ref="M2:N2"/>
    <mergeCell ref="M7:N7"/>
    <mergeCell ref="M6:N6"/>
    <mergeCell ref="B92:C92"/>
    <mergeCell ref="B93:C93"/>
    <mergeCell ref="B17:C17"/>
    <mergeCell ref="B11:C11"/>
    <mergeCell ref="M8:N8"/>
    <mergeCell ref="H70:J70"/>
    <mergeCell ref="B70:D70"/>
    <mergeCell ref="B23:C23"/>
    <mergeCell ref="B30:C30"/>
    <mergeCell ref="B86:C86"/>
    <mergeCell ref="B87:C87"/>
    <mergeCell ref="B89:C89"/>
    <mergeCell ref="B90:C90"/>
    <mergeCell ref="B94:C94"/>
    <mergeCell ref="Q6:R6"/>
    <mergeCell ref="B38:C38"/>
    <mergeCell ref="B44:C44"/>
    <mergeCell ref="B96:D96"/>
    <mergeCell ref="B76:D76"/>
    <mergeCell ref="B68:D68"/>
    <mergeCell ref="I68:K68"/>
    <mergeCell ref="B66:D66"/>
    <mergeCell ref="B78:C78"/>
    <mergeCell ref="B81:C81"/>
    <mergeCell ref="B88:C88"/>
    <mergeCell ref="B80:C80"/>
    <mergeCell ref="B82:C82"/>
    <mergeCell ref="B84:C84"/>
    <mergeCell ref="B91:C91"/>
    <mergeCell ref="Y8:Z8"/>
    <mergeCell ref="U8:V8"/>
    <mergeCell ref="B10:C10"/>
    <mergeCell ref="Q8:R8"/>
    <mergeCell ref="B85:C85"/>
    <mergeCell ref="H66:J66"/>
    <mergeCell ref="B32:C32"/>
    <mergeCell ref="H65:J65"/>
    <mergeCell ref="B65:D65"/>
    <mergeCell ref="B83:C83"/>
  </mergeCells>
  <phoneticPr fontId="10" type="noConversion"/>
  <conditionalFormatting sqref="A100:M109">
    <cfRule type="containsText" dxfId="186" priority="23" stopIfTrue="1" operator="containsText" text="Serious">
      <formula>NOT(ISERROR(SEARCH("Serious",A100)))</formula>
    </cfRule>
    <cfRule type="containsText" dxfId="185" priority="24" stopIfTrue="1" operator="containsText" text="Medium">
      <formula>NOT(ISERROR(SEARCH("Medium",A100)))</formula>
    </cfRule>
    <cfRule type="containsText" dxfId="184" priority="25" stopIfTrue="1" operator="containsText" text="Cosmetic">
      <formula>NOT(ISERROR(SEARCH("Cosmetic",A100)))</formula>
    </cfRule>
  </conditionalFormatting>
  <conditionalFormatting sqref="D94:M94">
    <cfRule type="expression" dxfId="183" priority="1">
      <formula>AND(D94&lt;&gt;"",D94=3)</formula>
    </cfRule>
    <cfRule type="expression" dxfId="182" priority="2">
      <formula>AND(D94&lt;&gt;"",D94=2)</formula>
    </cfRule>
    <cfRule type="expression" dxfId="181" priority="18">
      <formula>AND(D94&lt;&gt;"",D94=0)</formula>
    </cfRule>
  </conditionalFormatting>
  <conditionalFormatting sqref="D80:M92">
    <cfRule type="expression" dxfId="180" priority="16">
      <formula>AND(D80&lt;&gt;"",D80&lt;80)</formula>
    </cfRule>
    <cfRule type="expression" dxfId="179" priority="17">
      <formula>AND(D80&lt;&gt;"",D80&gt;=80)</formula>
    </cfRule>
  </conditionalFormatting>
  <conditionalFormatting sqref="D93:M93">
    <cfRule type="expression" dxfId="178" priority="14">
      <formula>AND(D93&lt;&gt;"",D93&lt;90)</formula>
    </cfRule>
    <cfRule type="expression" dxfId="177" priority="15">
      <formula>AND(D93&lt;&gt;"",D93&gt;=90)</formula>
    </cfRule>
  </conditionalFormatting>
  <conditionalFormatting sqref="D11:AI28 D32:P49">
    <cfRule type="expression" dxfId="176" priority="6">
      <formula>AND(D11&lt;&gt;"",D11&gt;=0,D11&lt;50)</formula>
    </cfRule>
    <cfRule type="expression" dxfId="175" priority="7">
      <formula>AND(D11&lt;&gt;"",D11&lt;90,D11&gt;=50)</formula>
    </cfRule>
    <cfRule type="expression" dxfId="174" priority="8">
      <formula>AND(D11&lt;&gt;"",D11&gt;=90)</formula>
    </cfRule>
  </conditionalFormatting>
  <dataValidations count="7">
    <dataValidation type="list" allowBlank="1" showInputMessage="1" showErrorMessage="1" sqref="K100:K109">
      <formula1>"Organization Issue, Non Conformity, Observation, Customer Complaint, Suggestion, Incident"</formula1>
    </dataValidation>
    <dataValidation type="list" allowBlank="1" showInputMessage="1" showErrorMessage="1" sqref="L100:L109">
      <formula1>"Planning PCV, Weekly PCV, Monthly PCV, Baseline PCV, Closing PCV, Ad-hoc,Quality Gate, Internal Audit, Others"</formula1>
    </dataValidation>
    <dataValidation type="list" allowBlank="1" showInputMessage="1" showErrorMessage="1" sqref="E100:E109">
      <formula1>"Serious,Medium,Cosmetic"</formula1>
    </dataValidation>
    <dataValidation type="list" allowBlank="1" showInputMessage="1" showErrorMessage="1" sqref="H101:H109">
      <formula1>"Open,In-progress,Closed,Cancelled"</formula1>
    </dataValidation>
    <dataValidation type="list" allowBlank="1" showInputMessage="1" showErrorMessage="1" sqref="H100">
      <formula1>"Open,In-progress,Closed,Cancelled, Accepted"</formula1>
    </dataValidation>
    <dataValidation type="list" allowBlank="1" showInputMessage="1" showErrorMessage="1" sqref="E2">
      <formula1>"Test , Call center, Maintenance, Development, Other"</formula1>
    </dataValidation>
    <dataValidation type="list" showDropDown="1" showErrorMessage="1" errorTitle="Invalid data" error="For this cell, please enter only value = &quot;QuestionType&quot;" sqref="F2">
      <formula1>"QuestionType"</formula1>
    </dataValidation>
  </dataValidations>
  <pageMargins left="0.31496062992125984" right="0.23622047244094491" top="0.51181102362204722" bottom="0.59055118110236227" header="0.31496062992125984" footer="0.19685039370078741"/>
  <pageSetup scale="47" orientation="landscape" horizontalDpi="200" verticalDpi="200" r:id="rId1"/>
  <headerFooter alignWithMargins="0">
    <oddFooter>&amp;L02e-CL/CL/HDCV/FSOFT v2/3&amp;CInternal use&amp;R&amp;P/&amp;N</oddFooter>
  </headerFooter>
  <rowBreaks count="1" manualBreakCount="1">
    <brk id="75" max="31" man="1"/>
  </rowBreaks>
  <colBreaks count="1" manualBreakCount="1">
    <brk id="21" max="110" man="1"/>
  </colBreak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filterMode="1">
    <tabColor rgb="FFFFC000"/>
  </sheetPr>
  <dimension ref="A1:Q110"/>
  <sheetViews>
    <sheetView showGridLines="0" zoomScale="80" zoomScaleNormal="80" zoomScaleSheetLayoutView="55" workbookViewId="0">
      <selection activeCell="F62" sqref="F62"/>
    </sheetView>
  </sheetViews>
  <sheetFormatPr defaultColWidth="9.140625" defaultRowHeight="12.75" x14ac:dyDescent="0.2"/>
  <cols>
    <col min="1" max="1" width="6.5703125" style="94" customWidth="1"/>
    <col min="2" max="2" width="15.140625" style="138" customWidth="1"/>
    <col min="3" max="3" width="10" style="139" customWidth="1"/>
    <col min="4" max="4" width="12" style="94" customWidth="1"/>
    <col min="5" max="5" width="29.140625" style="94" customWidth="1"/>
    <col min="6" max="6" width="45" style="94" customWidth="1"/>
    <col min="7" max="7" width="41.28515625" style="139" customWidth="1"/>
    <col min="8" max="8" width="16.85546875" style="140" customWidth="1"/>
    <col min="9" max="9" width="16.7109375" style="96" customWidth="1"/>
    <col min="10" max="10" width="12.7109375" style="94" customWidth="1"/>
    <col min="11" max="11" width="13" style="94" bestFit="1" customWidth="1"/>
    <col min="12" max="13" width="13.42578125" style="94" bestFit="1" customWidth="1"/>
    <col min="14" max="14" width="10.85546875" style="94" customWidth="1"/>
    <col min="15" max="16384" width="9.140625" style="94"/>
  </cols>
  <sheetData>
    <row r="1" spans="1:17" s="88" customFormat="1" ht="20.25" x14ac:dyDescent="0.3">
      <c r="A1" s="86"/>
      <c r="B1" s="87" t="s">
        <v>381</v>
      </c>
      <c r="D1" s="86"/>
      <c r="G1" s="141"/>
      <c r="H1" s="89"/>
      <c r="I1" s="90"/>
    </row>
    <row r="2" spans="1:17" x14ac:dyDescent="0.2">
      <c r="A2" s="91"/>
      <c r="B2" s="92"/>
      <c r="C2" s="93" t="s">
        <v>403</v>
      </c>
      <c r="D2" s="91"/>
      <c r="H2" s="95"/>
    </row>
    <row r="3" spans="1:17" s="76" customFormat="1" x14ac:dyDescent="0.2">
      <c r="B3" s="19"/>
      <c r="C3" s="77" t="s">
        <v>340</v>
      </c>
      <c r="D3" s="78" t="s">
        <v>316</v>
      </c>
      <c r="E3" s="79" t="s">
        <v>647</v>
      </c>
      <c r="F3" s="80" t="s">
        <v>289</v>
      </c>
      <c r="G3" s="81" t="s">
        <v>283</v>
      </c>
      <c r="H3" s="81" t="s">
        <v>284</v>
      </c>
      <c r="I3" s="80" t="s">
        <v>286</v>
      </c>
      <c r="J3" s="82" t="s">
        <v>648</v>
      </c>
      <c r="K3" s="80" t="s">
        <v>649</v>
      </c>
      <c r="L3" s="80" t="s">
        <v>285</v>
      </c>
      <c r="M3" s="80" t="s">
        <v>650</v>
      </c>
      <c r="N3" s="80" t="s">
        <v>651</v>
      </c>
      <c r="O3" s="80" t="s">
        <v>652</v>
      </c>
      <c r="P3" s="80" t="s">
        <v>380</v>
      </c>
      <c r="Q3" s="80" t="s">
        <v>970</v>
      </c>
    </row>
    <row r="4" spans="1:17" s="98" customFormat="1" x14ac:dyDescent="0.2">
      <c r="B4" s="99"/>
      <c r="C4" s="100" t="s">
        <v>63</v>
      </c>
      <c r="D4" s="101" t="str">
        <f>IFERROR(SUMPRODUCT(ISNUMBER(P_CKDATE)*ISNUMBER(P_CKDATA)*P_INTYPE,P_CKDATA)/SUMPRODUCT(ISNUMBER(P_CKDATE)*ISNUMBER(P_CKDATA)*P_INTYPE),"")</f>
        <v/>
      </c>
      <c r="E4" s="102" t="str">
        <f>IFERROR(SUMPRODUCT(ISNUMBER(P_CKDATE)*(P_CAT=E$3)*ISNUMBER(P_CKDATA)*P_INTYPE,P_CKDATA)/SUMPRODUCT(ISNUMBER(P_CKDATE)*(P_CAT=E$3)*ISNUMBER(P_CKDATA)*P_INTYPE),"")</f>
        <v/>
      </c>
      <c r="F4" s="254" t="str">
        <f>IFERROR(SUMPRODUCT(ISNUMBER(P_CKDATE)*(P_CAT=F$3)*ISNUMBER(P_CKDATA)*P_INTYPE,P_CKDATA)/SUMPRODUCT(ISNUMBER(P_CKDATE)*(P_CAT=F$3)*ISNUMBER(P_CKDATA)*P_INTYPE),"")</f>
        <v/>
      </c>
      <c r="G4" s="254" t="str">
        <f>IFERROR(SUMPRODUCT(ISNUMBER(P_CKDATE)*(P_CAT=G$3)*ISNUMBER(P_CKDATA)*P_INTYPE,P_CKDATA)/SUMPRODUCT(ISNUMBER(P_CKDATE)*(P_CAT=G$3)*ISNUMBER(P_CKDATA)*P_INTYPE),"")</f>
        <v/>
      </c>
      <c r="H4" s="254" t="str">
        <f>IFERROR(SUMPRODUCT(ISNUMBER(P_CKDATE)*(P_CAT=H$3)*ISNUMBER(P_CKDATA)*P_INTYPE,P_CKDATA)/SUMPRODUCT(ISNUMBER(P_CKDATE)*(P_CAT=H$3)*ISNUMBER(P_CKDATA)*P_INTYPE),"")</f>
        <v/>
      </c>
      <c r="I4" s="254" t="str">
        <f>IFERROR(SUMPRODUCT(ISNUMBER(P_CKDATE)*(P_CAT=I$3)*ISNUMBER(P_CKDATA)*P_INTYPE,P_CKDATA)/SUMPRODUCT(ISNUMBER(P_CKDATE)*(P_CAT=I$3)*ISNUMBER(P_CKDATA)*P_INTYPE),"")</f>
        <v/>
      </c>
      <c r="J4" s="254" t="str">
        <f>IFERROR(SUMPRODUCT(ISNUMBER(P_CKDATE)*(P_CAT=J$3)*ISNUMBER(P_CKDATA)*P_INTYPE,P_CKDATA)/SUMPRODUCT(ISNUMBER(P_CKDATE)*(P_CAT=J$3)*ISNUMBER(P_CKDATA)*P_INTYPE),"")</f>
        <v/>
      </c>
      <c r="K4" s="254" t="str">
        <f>IFERROR(SUMPRODUCT(ISNUMBER(P_CKDATE)*(P_CAT=K$3)*ISNUMBER(P_CKDATA)*P_INTYPE,P_CKDATA)/SUMPRODUCT(ISNUMBER(P_CKDATE)*(P_CAT=K$3)*ISNUMBER(P_CKDATA)*P_INTYPE),"")</f>
        <v/>
      </c>
      <c r="L4" s="254" t="str">
        <f>IFERROR(SUMPRODUCT(ISNUMBER(P_CKDATE)*(P_CAT=L$3)*ISNUMBER(P_CKDATA)*P_INTYPE,P_CKDATA)/SUMPRODUCT(ISNUMBER(P_CKDATE)*(P_CAT=L$3)*ISNUMBER(P_CKDATA)*P_INTYPE),"")</f>
        <v/>
      </c>
      <c r="M4" s="254" t="str">
        <f>IFERROR(SUMPRODUCT(ISNUMBER(P_CKDATE)*(P_CAT=M$3)*ISNUMBER(P_CKDATA)*P_INTYPE,P_CKDATA)/SUMPRODUCT(ISNUMBER(P_CKDATE)*(P_CAT=M$3)*ISNUMBER(P_CKDATA)*P_INTYPE),"")</f>
        <v/>
      </c>
      <c r="N4" s="254" t="str">
        <f>IFERROR(SUMPRODUCT(ISNUMBER(P_CKDATE)*(P_CAT=N$3)*ISNUMBER(P_CKDATA)*P_INTYPE,P_CKDATA)/SUMPRODUCT(ISNUMBER(P_CKDATE)*(P_CAT=N$3)*ISNUMBER(P_CKDATA)*P_INTYPE),"")</f>
        <v/>
      </c>
      <c r="O4" s="254" t="str">
        <f>IFERROR(SUMPRODUCT(ISNUMBER(P_CKDATE)*(P_CAT=O$3)*ISNUMBER(P_CKDATA)*P_INTYPE,P_CKDATA)/SUMPRODUCT(ISNUMBER(P_CKDATE)*(P_CAT=O$3)*ISNUMBER(P_CKDATA)*P_INTYPE),"")</f>
        <v/>
      </c>
      <c r="P4" s="254" t="str">
        <f>IFERROR(SUMPRODUCT(ISNUMBER(P_CKDATE)*(P_CAT=P$3)*ISNUMBER(P_CKDATA)*P_INTYPE,P_CKDATA)/SUMPRODUCT(ISNUMBER(P_CKDATE)*(P_CAT=P$3)*ISNUMBER(P_CKDATA)*P_INTYPE),"")</f>
        <v/>
      </c>
      <c r="Q4" s="304" t="str">
        <f>IFERROR(SUMPRODUCT(ISNUMBER(P_CKDATE)*(P_CAT=Q$3)*ISNUMBER(P_CKDATA)*P_INTYPE,P_CKDATA)/SUMPRODUCT(ISNUMBER(P_CKDATE)*(P_CAT=Q$3)*ISNUMBER(P_CKDATA)*P_INTYPE),"")</f>
        <v/>
      </c>
    </row>
    <row r="5" spans="1:17" s="98" customFormat="1" x14ac:dyDescent="0.2">
      <c r="B5" s="99"/>
      <c r="C5" s="103" t="s">
        <v>351</v>
      </c>
      <c r="D5" s="101" t="str">
        <f>IFERROR(SUMPRODUCT(ISNUMBER(P_CKDATE)*ISNUMBER(P_CKDATA)*P_SM*P_INTYPE,P_CKDATA)/SUMPRODUCT(ISNUMBER(P_CKDATE)*ISNUMBER(P_CKDATA)*P_SM*P_INTYPE),"")</f>
        <v/>
      </c>
      <c r="E5" s="102" t="str">
        <f>IFERROR(SUMPRODUCT(ISNUMBER(P_CKDATE)*(P_CAT=E$3)*ISNUMBER(P_CKDATA)*P_SM*P_INTYPE,P_CKDATA)/SUMPRODUCT(ISNUMBER(P_CKDATE)*(P_CAT=E$3)*ISNUMBER(P_CKDATA)*P_SM*P_INTYPE),"")</f>
        <v/>
      </c>
      <c r="F5" s="254" t="str">
        <f>IFERROR(SUMPRODUCT(ISNUMBER(P_CKDATE)*(P_CAT=F$3)*ISNUMBER(P_CKDATA)*P_SM*P_INTYPE,P_CKDATA)/SUMPRODUCT(ISNUMBER(P_CKDATE)*(P_CAT=F$3)*ISNUMBER(P_CKDATA)*P_SM*P_INTYPE),"")</f>
        <v/>
      </c>
      <c r="G5" s="254" t="str">
        <f>IFERROR(SUMPRODUCT(ISNUMBER(P_CKDATE)*(P_CAT=G$3)*ISNUMBER(P_CKDATA)*P_SM*P_INTYPE,P_CKDATA)/SUMPRODUCT(ISNUMBER(P_CKDATE)*(P_CAT=G$3)*ISNUMBER(P_CKDATA)*P_SM*P_INTYPE),"")</f>
        <v/>
      </c>
      <c r="H5" s="254" t="str">
        <f>IFERROR(SUMPRODUCT(ISNUMBER(P_CKDATE)*(P_CAT=H$3)*ISNUMBER(P_CKDATA)*P_SM*P_INTYPE,P_CKDATA)/SUMPRODUCT(ISNUMBER(P_CKDATE)*(P_CAT=H$3)*ISNUMBER(P_CKDATA)*P_SM*P_INTYPE),"")</f>
        <v/>
      </c>
      <c r="I5" s="254" t="str">
        <f>IFERROR(SUMPRODUCT(ISNUMBER(P_CKDATE)*(P_CAT=I$3)*ISNUMBER(P_CKDATA)*P_SM*P_INTYPE,P_CKDATA)/SUMPRODUCT(ISNUMBER(P_CKDATE)*(P_CAT=I$3)*ISNUMBER(P_CKDATA)*P_SM*P_INTYPE),"")</f>
        <v/>
      </c>
      <c r="J5" s="254" t="str">
        <f>IFERROR(SUMPRODUCT(ISNUMBER(P_CKDATE)*(P_CAT=J$3)*ISNUMBER(P_CKDATA)*P_SM*P_INTYPE,P_CKDATA)/SUMPRODUCT(ISNUMBER(P_CKDATE)*(P_CAT=J$3)*ISNUMBER(P_CKDATA)*P_SM*P_INTYPE),"")</f>
        <v/>
      </c>
      <c r="K5" s="254" t="str">
        <f>IFERROR(SUMPRODUCT(ISNUMBER(P_CKDATE)*(P_CAT=K$3)*ISNUMBER(P_CKDATA)*P_SM*P_INTYPE,P_CKDATA)/SUMPRODUCT(ISNUMBER(P_CKDATE)*(P_CAT=K$3)*ISNUMBER(P_CKDATA)*P_SM*P_INTYPE),"")</f>
        <v/>
      </c>
      <c r="L5" s="254" t="str">
        <f>IFERROR(SUMPRODUCT(ISNUMBER(P_CKDATE)*(P_CAT=L$3)*ISNUMBER(P_CKDATA)*P_SM*P_INTYPE,P_CKDATA)/SUMPRODUCT(ISNUMBER(P_CKDATE)*(P_CAT=L$3)*ISNUMBER(P_CKDATA)*P_SM*P_INTYPE),"")</f>
        <v/>
      </c>
      <c r="M5" s="254" t="str">
        <f>IFERROR(SUMPRODUCT(ISNUMBER(P_CKDATE)*(P_CAT=M$3)*ISNUMBER(P_CKDATA)*P_SM*P_INTYPE,P_CKDATA)/SUMPRODUCT(ISNUMBER(P_CKDATE)*(P_CAT=M$3)*ISNUMBER(P_CKDATA)*P_SM*P_INTYPE),"")</f>
        <v/>
      </c>
      <c r="N5" s="254" t="str">
        <f>IFERROR(SUMPRODUCT(ISNUMBER(P_CKDATE)*(P_CAT=N$3)*ISNUMBER(P_CKDATA)*P_SM*P_INTYPE,P_CKDATA)/SUMPRODUCT(ISNUMBER(P_CKDATE)*(P_CAT=N$3)*ISNUMBER(P_CKDATA)*P_SM*P_INTYPE),"")</f>
        <v/>
      </c>
      <c r="O5" s="254" t="str">
        <f>IFERROR(SUMPRODUCT(ISNUMBER(P_CKDATE)*(P_CAT=O$3)*ISNUMBER(P_CKDATA)*P_SM*P_INTYPE,P_CKDATA)/SUMPRODUCT(ISNUMBER(P_CKDATE)*(P_CAT=O$3)*ISNUMBER(P_CKDATA)*P_SM*P_INTYPE),"")</f>
        <v/>
      </c>
      <c r="P5" s="254" t="str">
        <f>IFERROR(SUMPRODUCT(ISNUMBER(P_CKDATE)*(P_CAT=P$3)*ISNUMBER(P_CKDATA)*P_SM*P_INTYPE,P_CKDATA)/SUMPRODUCT(ISNUMBER(P_CKDATE)*(P_CAT=P$3)*ISNUMBER(P_CKDATA)*P_SM*P_INTYPE),"")</f>
        <v/>
      </c>
      <c r="Q5" s="304" t="str">
        <f>IFERROR(SUMPRODUCT(ISNUMBER(P_CKDATE)*(P_CAT=Q$3)*ISNUMBER(P_CKDATA)*P_SM*P_INTYPE,P_CKDATA)/SUMPRODUCT(ISNUMBER(P_CKDATE)*(P_CAT=Q$3)*ISNUMBER(P_CKDATA)*P_SM*P_INTYPE),"")</f>
        <v/>
      </c>
    </row>
    <row r="6" spans="1:17" s="98" customFormat="1" x14ac:dyDescent="0.2">
      <c r="B6" s="99"/>
      <c r="C6" s="103" t="s">
        <v>352</v>
      </c>
      <c r="D6" s="101" t="str">
        <f>IFERROR(SUMPRODUCT(ISNUMBER(P_CKDATE)*ISNUMBER(P_CKDATA)*P_PM*P_INTYPE,P_CKDATA)/SUMPRODUCT(ISNUMBER(P_CKDATE)*ISNUMBER(P_CKDATA)*P_PM*P_INTYPE),"")</f>
        <v/>
      </c>
      <c r="E6" s="102" t="str">
        <f>IFERROR(SUMPRODUCT(ISNUMBER(P_CKDATE)*(P_CAT=E$3)*ISNUMBER(P_CKDATA)*P_PM*P_INTYPE,P_CKDATA)/SUMPRODUCT(ISNUMBER(P_CKDATE)*(P_CAT=E$3)*ISNUMBER(P_CKDATA)*P_PM*P_INTYPE),"")</f>
        <v/>
      </c>
      <c r="F6" s="254" t="str">
        <f>IFERROR(SUMPRODUCT(ISNUMBER(P_CKDATE)*(P_CAT=F$3)*ISNUMBER(P_CKDATA)*P_PM*P_INTYPE,P_CKDATA)/SUMPRODUCT(ISNUMBER(P_CKDATE)*(P_CAT=F$3)*ISNUMBER(P_CKDATA)*P_PM*P_INTYPE),"")</f>
        <v/>
      </c>
      <c r="G6" s="254" t="str">
        <f>IFERROR(SUMPRODUCT(ISNUMBER(P_CKDATE)*(P_CAT=G$3)*ISNUMBER(P_CKDATA)*P_PM*P_INTYPE,P_CKDATA)/SUMPRODUCT(ISNUMBER(P_CKDATE)*(P_CAT=G$3)*ISNUMBER(P_CKDATA)*P_PM*P_INTYPE),"")</f>
        <v/>
      </c>
      <c r="H6" s="254" t="str">
        <f>IFERROR(SUMPRODUCT(ISNUMBER(P_CKDATE)*(P_CAT=H$3)*ISNUMBER(P_CKDATA)*P_PM*P_INTYPE,P_CKDATA)/SUMPRODUCT(ISNUMBER(P_CKDATE)*(P_CAT=H$3)*ISNUMBER(P_CKDATA)*P_PM*P_INTYPE),"")</f>
        <v/>
      </c>
      <c r="I6" s="254" t="str">
        <f>IFERROR(SUMPRODUCT(ISNUMBER(P_CKDATE)*(P_CAT=I$3)*ISNUMBER(P_CKDATA)*P_PM*P_INTYPE,P_CKDATA)/SUMPRODUCT(ISNUMBER(P_CKDATE)*(P_CAT=I$3)*ISNUMBER(P_CKDATA)*P_PM*P_INTYPE),"")</f>
        <v/>
      </c>
      <c r="J6" s="254" t="str">
        <f>IFERROR(SUMPRODUCT(ISNUMBER(P_CKDATE)*(P_CAT=J$3)*ISNUMBER(P_CKDATA)*P_PM*P_INTYPE,P_CKDATA)/SUMPRODUCT(ISNUMBER(P_CKDATE)*(P_CAT=J$3)*ISNUMBER(P_CKDATA)*P_PM*P_INTYPE),"")</f>
        <v/>
      </c>
      <c r="K6" s="254" t="str">
        <f>IFERROR(SUMPRODUCT(ISNUMBER(P_CKDATE)*(P_CAT=K$3)*ISNUMBER(P_CKDATA)*P_PM*P_INTYPE,P_CKDATA)/SUMPRODUCT(ISNUMBER(P_CKDATE)*(P_CAT=K$3)*ISNUMBER(P_CKDATA)*P_PM*P_INTYPE),"")</f>
        <v/>
      </c>
      <c r="L6" s="254" t="str">
        <f>IFERROR(SUMPRODUCT(ISNUMBER(P_CKDATE)*(P_CAT=L$3)*ISNUMBER(P_CKDATA)*P_PM*P_INTYPE,P_CKDATA)/SUMPRODUCT(ISNUMBER(P_CKDATE)*(P_CAT=L$3)*ISNUMBER(P_CKDATA)*P_PM*P_INTYPE),"")</f>
        <v/>
      </c>
      <c r="M6" s="254" t="str">
        <f>IFERROR(SUMPRODUCT(ISNUMBER(P_CKDATE)*(P_CAT=M$3)*ISNUMBER(P_CKDATA)*P_PM*P_INTYPE,P_CKDATA)/SUMPRODUCT(ISNUMBER(P_CKDATE)*(P_CAT=M$3)*ISNUMBER(P_CKDATA)*P_PM*P_INTYPE),"")</f>
        <v/>
      </c>
      <c r="N6" s="254" t="str">
        <f>IFERROR(SUMPRODUCT(ISNUMBER(P_CKDATE)*(P_CAT=N$3)*ISNUMBER(P_CKDATA)*P_PM*P_INTYPE,P_CKDATA)/SUMPRODUCT(ISNUMBER(P_CKDATE)*(P_CAT=N$3)*ISNUMBER(P_CKDATA)*P_PM*P_INTYPE),"")</f>
        <v/>
      </c>
      <c r="O6" s="254" t="str">
        <f>IFERROR(SUMPRODUCT(ISNUMBER(P_CKDATE)*(P_CAT=O$3)*ISNUMBER(P_CKDATA)*P_PM*P_INTYPE,P_CKDATA)/SUMPRODUCT(ISNUMBER(P_CKDATE)*(P_CAT=O$3)*ISNUMBER(P_CKDATA)*P_PM*P_INTYPE),"")</f>
        <v/>
      </c>
      <c r="P6" s="254" t="str">
        <f>IFERROR(SUMPRODUCT(ISNUMBER(P_CKDATE)*(P_CAT=P$3)*ISNUMBER(P_CKDATA)*P_PM*P_INTYPE,P_CKDATA)/SUMPRODUCT(ISNUMBER(P_CKDATE)*(P_CAT=P$3)*ISNUMBER(P_CKDATA)*P_PM*P_INTYPE),"")</f>
        <v/>
      </c>
      <c r="Q6" s="304" t="str">
        <f>IFERROR(SUMPRODUCT(ISNUMBER(P_CKDATE)*(P_CAT=Q$3)*ISNUMBER(P_CKDATA)*P_PM*P_INTYPE,P_CKDATA)/SUMPRODUCT(ISNUMBER(P_CKDATE)*(P_CAT=Q$3)*ISNUMBER(P_CKDATA)*P_PM*P_INTYPE),"")</f>
        <v/>
      </c>
    </row>
    <row r="7" spans="1:17" x14ac:dyDescent="0.2">
      <c r="A7" s="91"/>
      <c r="B7" s="92"/>
      <c r="C7" s="104"/>
      <c r="D7" s="91"/>
      <c r="F7" s="105"/>
      <c r="G7" s="142"/>
      <c r="H7" s="105"/>
    </row>
    <row r="8" spans="1:17" x14ac:dyDescent="0.2">
      <c r="A8" s="91"/>
      <c r="B8" s="106"/>
      <c r="C8" s="106"/>
      <c r="D8" s="93"/>
      <c r="E8" s="107"/>
      <c r="G8" s="108"/>
      <c r="H8" s="108"/>
      <c r="I8" s="478" t="s">
        <v>432</v>
      </c>
      <c r="J8" s="479"/>
      <c r="K8" s="101" t="str">
        <f>IF(ISNUMBER(K$11),IFERROR(SUMPRODUCT(ISNUMBER(P_CDATA)*P_INTYPE,P_CDATA)/SUMPRODUCT(ISNUMBER(P_CDATA)*P_INTYPE),""),"")</f>
        <v/>
      </c>
      <c r="L8" s="101" t="str">
        <f>IF(ISNUMBER(L$11),IFERROR(SUMPRODUCT(ISNUMBER(P_CDATA)*P_INTYPE,P_CDATA)/SUMPRODUCT(ISNUMBER(P_CDATA)*P_INTYPE),""),"")</f>
        <v/>
      </c>
      <c r="M8" s="101" t="str">
        <f>IF(ISNUMBER(M$11),IFERROR(SUMPRODUCT(ISNUMBER(P_CDATA)*P_INTYPE,P_CDATA)/SUMPRODUCT(ISNUMBER(P_CDATA)*P_INTYPE),""),"")</f>
        <v/>
      </c>
      <c r="N8" s="101" t="str">
        <f>IF(ISNUMBER(N$11),IFERROR(SUMPRODUCT(ISNUMBER(P_CDATA)*P_INTYPE,P_CDATA)/SUMPRODUCT(ISNUMBER(P_CDATA)*P_INTYPE),""),"")</f>
        <v/>
      </c>
      <c r="O8" s="101" t="str">
        <f>IF(ISNUMBER(O$11),IFERROR(SUMPRODUCT(ISNUMBER(P_CDATA)*P_INTYPE,P_CDATA)/SUMPRODUCT(ISNUMBER(P_CDATA)*P_INTYPE),""),"")</f>
        <v/>
      </c>
      <c r="P8" s="109" t="str">
        <f>IF(OR(SUMPRODUCT(ISNUMBER(P13:P110)*($D$13:$D$110&lt;&gt;""))=0,NOT(ISNUMBER(P11))),"",SUMPRODUCT(ISNUMBER(P13:P110)*($D$13:$D$110&lt;&gt;""),P13:P110)/SUMPRODUCT(ISNUMBER(P13:P110)*($D$13:$D$110&lt;&gt;"")))</f>
        <v/>
      </c>
    </row>
    <row r="9" spans="1:17" x14ac:dyDescent="0.2">
      <c r="A9" s="110"/>
      <c r="B9" s="92"/>
      <c r="C9" s="92"/>
      <c r="D9" s="111"/>
      <c r="E9" s="108"/>
      <c r="G9" s="108"/>
      <c r="H9" s="108"/>
      <c r="I9" s="478" t="s">
        <v>433</v>
      </c>
      <c r="J9" s="479"/>
      <c r="K9" s="101" t="str">
        <f>IF(ISNUMBER(K$11),IFERROR(SUMPRODUCT(ISNUMBER(P_CDATA)*P_SM*P_INTYPE,P_CDATA)/SUMPRODUCT(ISNUMBER(P_CDATA)*P_SM*P_INTYPE),""),"")</f>
        <v/>
      </c>
      <c r="L9" s="101" t="str">
        <f>IF(ISNUMBER(L$11),IFERROR(SUMPRODUCT(ISNUMBER(P_CDATA)*P_SM*P_INTYPE,P_CDATA)/SUMPRODUCT(ISNUMBER(P_CDATA)*P_SM*P_INTYPE),""),"")</f>
        <v/>
      </c>
      <c r="M9" s="101" t="str">
        <f>IF(ISNUMBER(M$11),IFERROR(SUMPRODUCT(ISNUMBER(P_CDATA)*P_SM*P_INTYPE,P_CDATA)/SUMPRODUCT(ISNUMBER(P_CDATA)*P_SM*P_INTYPE),""),"")</f>
        <v/>
      </c>
      <c r="N9" s="101" t="str">
        <f>IF(ISNUMBER(N$11),IFERROR(SUMPRODUCT(ISNUMBER(P_CDATA)*P_SM*P_INTYPE,P_CDATA)/SUMPRODUCT(ISNUMBER(P_CDATA)*P_SM*P_INTYPE),""),"")</f>
        <v/>
      </c>
      <c r="O9" s="101" t="str">
        <f>IF(ISNUMBER(O$11),IFERROR(SUMPRODUCT(ISNUMBER(P_CDATA)*P_SM*P_INTYPE,P_CDATA)/SUMPRODUCT(ISNUMBER(P_CDATA)*P_SM*P_INTYPE),""),"")</f>
        <v/>
      </c>
      <c r="P9" s="109" t="str">
        <f>IF(OR(SUMPRODUCT(($E$13:$E$110="Senior Management Involvement")*ISNUMBER(P13:P110)*($D$13:$D$110&lt;&gt;""))=0,NOT(ISNUMBER(P11))),"",SUMPRODUCT(($E$13:$E$110="Senior Management Involvement")*ISNUMBER(P13:P110)*($D$13:$D$110&lt;&gt;""),P13:P110)/SUMPRODUCT(($E$13:$E$110="Senior Management Involvement")*ISNUMBER(P13:P110)*($D$13:$D$110&lt;&gt;"")))</f>
        <v/>
      </c>
    </row>
    <row r="10" spans="1:17" x14ac:dyDescent="0.2">
      <c r="A10" s="91"/>
      <c r="B10" s="92"/>
      <c r="C10" s="92"/>
      <c r="D10" s="111"/>
      <c r="E10" s="112"/>
      <c r="F10" s="113"/>
      <c r="G10" s="143"/>
      <c r="H10" s="113"/>
      <c r="I10" s="478" t="s">
        <v>434</v>
      </c>
      <c r="J10" s="479"/>
      <c r="K10" s="101" t="str">
        <f>IF(ISNUMBER(K$11),IFERROR(SUMPRODUCT(ISNUMBER(P_CDATA)*P_PM*P_INTYPE,P_CDATA)/SUMPRODUCT(ISNUMBER(P_CDATA)*P_PM*P_INTYPE),""),"")</f>
        <v/>
      </c>
      <c r="L10" s="101" t="str">
        <f>IF(ISNUMBER(L$11),IFERROR(SUMPRODUCT(ISNUMBER(P_CDATA)*P_PM*P_INTYPE,P_CDATA)/SUMPRODUCT(ISNUMBER(P_CDATA)*P_PM*P_INTYPE),""),"")</f>
        <v/>
      </c>
      <c r="M10" s="101" t="str">
        <f>IF(ISNUMBER(M$11),IFERROR(SUMPRODUCT(ISNUMBER(P_CDATA)*P_PM*P_INTYPE,P_CDATA)/SUMPRODUCT(ISNUMBER(P_CDATA)*P_PM*P_INTYPE),""),"")</f>
        <v/>
      </c>
      <c r="N10" s="101" t="str">
        <f>IF(ISNUMBER(N$11),IFERROR(SUMPRODUCT(ISNUMBER(P_CDATA)*P_PM*P_INTYPE,P_CDATA)/SUMPRODUCT(ISNUMBER(P_CDATA)*P_PM*P_INTYPE),""),"")</f>
        <v/>
      </c>
      <c r="O10" s="101" t="str">
        <f>IF(ISNUMBER(O$11),IFERROR(SUMPRODUCT(ISNUMBER(P_CDATA)*P_PM*P_INTYPE,P_CDATA)/SUMPRODUCT(ISNUMBER(P_CDATA)*P_PM*P_INTYPE),""),"")</f>
        <v/>
      </c>
      <c r="P10" s="109" t="str">
        <f>IF(OR(SUMPRODUCT(($E$13:$E$110&lt;&gt;"Senior Management Involvement")*ISNUMBER(P13:P110)*($D$13:$D$110&lt;&gt;""))=0,NOT(ISNUMBER(P11))),"",SUMPRODUCT(($E$13:$E$110&lt;&gt;"Senior Management Involvement")*ISNUMBER(P13:P110)*($D$13:$D$110&lt;&gt;""),P13:P110)/SUMPRODUCT(($E$13:$E$110&lt;&gt;"Senior Management Involvement")*ISNUMBER(P13:P110)*($D$13:$D$110&lt;&gt;"")))</f>
        <v/>
      </c>
    </row>
    <row r="11" spans="1:17" x14ac:dyDescent="0.2">
      <c r="A11" s="91"/>
      <c r="B11" s="92"/>
      <c r="C11" s="92"/>
      <c r="D11" s="111"/>
      <c r="E11" s="112"/>
      <c r="F11" s="113"/>
      <c r="G11" s="143"/>
      <c r="H11" s="113"/>
      <c r="I11" s="478" t="s">
        <v>435</v>
      </c>
      <c r="J11" s="479"/>
      <c r="K11" s="114"/>
      <c r="L11" s="114"/>
      <c r="M11" s="114"/>
      <c r="N11" s="114"/>
      <c r="O11" s="115"/>
      <c r="P11" s="116"/>
    </row>
    <row r="12" spans="1:17" s="84" customFormat="1" ht="38.25" x14ac:dyDescent="0.2">
      <c r="A12" s="83" t="s">
        <v>126</v>
      </c>
      <c r="B12" s="83" t="str">
        <f>MacroFilter_ColumnName</f>
        <v>QuestionType</v>
      </c>
      <c r="C12" s="83" t="s">
        <v>653</v>
      </c>
      <c r="D12" s="83" t="s">
        <v>684</v>
      </c>
      <c r="E12" s="83" t="s">
        <v>299</v>
      </c>
      <c r="F12" s="83" t="s">
        <v>293</v>
      </c>
      <c r="G12" s="83" t="s">
        <v>343</v>
      </c>
      <c r="H12" s="83" t="s">
        <v>402</v>
      </c>
      <c r="I12" s="83" t="s">
        <v>267</v>
      </c>
      <c r="J12" s="83" t="s">
        <v>404</v>
      </c>
      <c r="K12" s="83" t="s">
        <v>57</v>
      </c>
      <c r="L12" s="83" t="s">
        <v>58</v>
      </c>
      <c r="M12" s="83" t="s">
        <v>59</v>
      </c>
      <c r="N12" s="83" t="s">
        <v>59</v>
      </c>
      <c r="O12" s="83" t="s">
        <v>967</v>
      </c>
      <c r="P12" s="83" t="s">
        <v>472</v>
      </c>
    </row>
    <row r="13" spans="1:17" s="384" customFormat="1" ht="243.75" customHeight="1" x14ac:dyDescent="0.2">
      <c r="A13" s="378" t="s">
        <v>69</v>
      </c>
      <c r="B13" s="378" t="s">
        <v>533</v>
      </c>
      <c r="C13" s="378">
        <v>3</v>
      </c>
      <c r="D13" s="378" t="s">
        <v>647</v>
      </c>
      <c r="E13" s="378" t="s">
        <v>333</v>
      </c>
      <c r="F13" s="378" t="s">
        <v>262</v>
      </c>
      <c r="G13" s="379" t="s">
        <v>997</v>
      </c>
      <c r="H13" s="380" t="s">
        <v>998</v>
      </c>
      <c r="I13" s="381"/>
      <c r="J13" s="352" t="str">
        <f>IFERROR(SUMPRODUCT(ISNUMBER(P_CKDATE)*ISNUMBER(P_RDATA),P_RDATA)/SUMPRODUCT(ISNUMBER(P_CKDATE)*ISNUMBER(P_RDATA)),"")</f>
        <v/>
      </c>
      <c r="K13" s="357"/>
      <c r="L13" s="357"/>
      <c r="M13" s="357"/>
      <c r="N13" s="357"/>
      <c r="O13" s="382"/>
      <c r="P13" s="383"/>
    </row>
    <row r="14" spans="1:17" s="384" customFormat="1" ht="306" x14ac:dyDescent="0.2">
      <c r="A14" s="378" t="s">
        <v>72</v>
      </c>
      <c r="B14" s="378" t="s">
        <v>533</v>
      </c>
      <c r="C14" s="378">
        <v>3</v>
      </c>
      <c r="D14" s="378" t="s">
        <v>647</v>
      </c>
      <c r="E14" s="378" t="s">
        <v>333</v>
      </c>
      <c r="F14" s="378" t="s">
        <v>264</v>
      </c>
      <c r="G14" s="378" t="s">
        <v>751</v>
      </c>
      <c r="H14" s="380" t="s">
        <v>998</v>
      </c>
      <c r="I14" s="381"/>
      <c r="J14" s="352" t="str">
        <f>IFERROR(SUMPRODUCT(ISNUMBER(P_CKDATE)*ISNUMBER(P_RDATA),P_RDATA)/SUMPRODUCT(ISNUMBER(P_CKDATE)*ISNUMBER(P_RDATA)),"")</f>
        <v/>
      </c>
      <c r="K14" s="357"/>
      <c r="L14" s="357"/>
      <c r="M14" s="357"/>
      <c r="N14" s="357"/>
      <c r="O14" s="382"/>
      <c r="P14" s="383"/>
    </row>
    <row r="15" spans="1:17" s="384" customFormat="1" ht="242.25" x14ac:dyDescent="0.2">
      <c r="A15" s="378" t="s">
        <v>73</v>
      </c>
      <c r="B15" s="378" t="s">
        <v>536</v>
      </c>
      <c r="C15" s="378">
        <v>2</v>
      </c>
      <c r="D15" s="378" t="s">
        <v>289</v>
      </c>
      <c r="E15" s="378" t="s">
        <v>453</v>
      </c>
      <c r="F15" s="378" t="s">
        <v>759</v>
      </c>
      <c r="G15" s="379" t="s">
        <v>999</v>
      </c>
      <c r="H15" s="380" t="s">
        <v>1000</v>
      </c>
      <c r="I15" s="381"/>
      <c r="J15" s="352" t="str">
        <f>IFERROR(SUMPRODUCT(ISNUMBER(P_CKDATE)*ISNUMBER(P_RDATA),P_RDATA)/SUMPRODUCT(ISNUMBER(P_CKDATE)*ISNUMBER(P_RDATA)),"")</f>
        <v/>
      </c>
      <c r="K15" s="357"/>
      <c r="L15" s="357"/>
      <c r="M15" s="357"/>
      <c r="N15" s="357"/>
      <c r="O15" s="382"/>
      <c r="P15" s="383"/>
    </row>
    <row r="16" spans="1:17" s="321" customFormat="1" ht="178.5" hidden="1" x14ac:dyDescent="0.2">
      <c r="A16" s="309" t="s">
        <v>73</v>
      </c>
      <c r="B16" s="309" t="s">
        <v>537</v>
      </c>
      <c r="C16" s="310">
        <v>2</v>
      </c>
      <c r="D16" s="310" t="s">
        <v>289</v>
      </c>
      <c r="E16" s="309" t="s">
        <v>453</v>
      </c>
      <c r="F16" s="309" t="s">
        <v>759</v>
      </c>
      <c r="G16" s="310" t="s">
        <v>904</v>
      </c>
      <c r="H16" s="375" t="s">
        <v>1000</v>
      </c>
      <c r="I16" s="313"/>
      <c r="J16" s="314" t="str">
        <f>IFERROR(SUMPRODUCT(ISNUMBER(P_CKDATE)*ISNUMBER(P_RDATA),P_RDATA)/SUMPRODUCT(ISNUMBER(P_CKDATE)*ISNUMBER(P_RDATA)),"")</f>
        <v/>
      </c>
      <c r="K16" s="315"/>
      <c r="L16" s="319"/>
      <c r="M16" s="319"/>
      <c r="N16" s="319"/>
      <c r="O16" s="320"/>
      <c r="P16" s="317"/>
    </row>
    <row r="17" spans="1:16" s="384" customFormat="1" ht="127.5" x14ac:dyDescent="0.2">
      <c r="A17" s="378" t="s">
        <v>74</v>
      </c>
      <c r="B17" s="378" t="s">
        <v>533</v>
      </c>
      <c r="C17" s="378">
        <v>2</v>
      </c>
      <c r="D17" s="378" t="s">
        <v>289</v>
      </c>
      <c r="E17" s="378" t="s">
        <v>453</v>
      </c>
      <c r="F17" s="378" t="s">
        <v>323</v>
      </c>
      <c r="G17" s="378" t="s">
        <v>905</v>
      </c>
      <c r="H17" s="380" t="s">
        <v>1000</v>
      </c>
      <c r="I17" s="381"/>
      <c r="J17" s="352" t="str">
        <f>IFERROR(SUMPRODUCT(ISNUMBER(P_CKDATE)*ISNUMBER(P_RDATA),P_RDATA)/SUMPRODUCT(ISNUMBER(P_CKDATE)*ISNUMBER(P_RDATA)),"")</f>
        <v/>
      </c>
      <c r="K17" s="357"/>
      <c r="L17" s="357"/>
      <c r="M17" s="357"/>
      <c r="N17" s="357"/>
      <c r="O17" s="382"/>
      <c r="P17" s="383"/>
    </row>
    <row r="18" spans="1:16" s="384" customFormat="1" ht="409.5" x14ac:dyDescent="0.2">
      <c r="A18" s="378" t="s">
        <v>75</v>
      </c>
      <c r="B18" s="378" t="s">
        <v>534</v>
      </c>
      <c r="C18" s="378">
        <v>2</v>
      </c>
      <c r="D18" s="378" t="s">
        <v>289</v>
      </c>
      <c r="E18" s="378" t="s">
        <v>453</v>
      </c>
      <c r="F18" s="379" t="s">
        <v>1001</v>
      </c>
      <c r="G18" s="378" t="s">
        <v>906</v>
      </c>
      <c r="H18" s="387" t="s">
        <v>1011</v>
      </c>
      <c r="I18" s="381"/>
      <c r="J18" s="352" t="str">
        <f>IFERROR(SUMPRODUCT(ISNUMBER(P_CKDATE)*ISNUMBER(P_RDATA),P_RDATA)/SUMPRODUCT(ISNUMBER(P_CKDATE)*ISNUMBER(P_RDATA)),"")</f>
        <v/>
      </c>
      <c r="K18" s="357"/>
      <c r="L18" s="357"/>
      <c r="M18" s="357"/>
      <c r="N18" s="357"/>
      <c r="O18" s="382"/>
      <c r="P18" s="383"/>
    </row>
    <row r="19" spans="1:16" s="321" customFormat="1" ht="204" hidden="1" x14ac:dyDescent="0.2">
      <c r="A19" s="309" t="s">
        <v>75</v>
      </c>
      <c r="B19" s="309" t="s">
        <v>537</v>
      </c>
      <c r="C19" s="310">
        <v>2</v>
      </c>
      <c r="D19" s="310" t="s">
        <v>289</v>
      </c>
      <c r="E19" s="309" t="s">
        <v>453</v>
      </c>
      <c r="F19" s="309" t="s">
        <v>760</v>
      </c>
      <c r="G19" s="310" t="s">
        <v>907</v>
      </c>
      <c r="H19" s="377" t="s">
        <v>1002</v>
      </c>
      <c r="I19" s="313"/>
      <c r="J19" s="314" t="str">
        <f>IFERROR(SUMPRODUCT(ISNUMBER(P_CKDATE)*ISNUMBER(P_RDATA),P_RDATA)/SUMPRODUCT(ISNUMBER(P_CKDATE)*ISNUMBER(P_RDATA)),"")</f>
        <v/>
      </c>
      <c r="K19" s="315"/>
      <c r="L19" s="314"/>
      <c r="M19" s="314"/>
      <c r="N19" s="314"/>
      <c r="O19" s="322"/>
      <c r="P19" s="317"/>
    </row>
    <row r="20" spans="1:16" s="384" customFormat="1" ht="127.5" x14ac:dyDescent="0.2">
      <c r="A20" s="378" t="s">
        <v>76</v>
      </c>
      <c r="B20" s="378" t="s">
        <v>535</v>
      </c>
      <c r="C20" s="378">
        <v>2</v>
      </c>
      <c r="D20" s="378" t="s">
        <v>289</v>
      </c>
      <c r="E20" s="378" t="s">
        <v>453</v>
      </c>
      <c r="F20" s="378" t="s">
        <v>761</v>
      </c>
      <c r="G20" s="378" t="s">
        <v>908</v>
      </c>
      <c r="H20" s="387" t="s">
        <v>1002</v>
      </c>
      <c r="I20" s="381"/>
      <c r="J20" s="352" t="str">
        <f>IFERROR(SUMPRODUCT(ISNUMBER(P_CKDATE)*ISNUMBER(P_RDATA),P_RDATA)/SUMPRODUCT(ISNUMBER(P_CKDATE)*ISNUMBER(P_RDATA)),"")</f>
        <v/>
      </c>
      <c r="K20" s="357"/>
      <c r="L20" s="357"/>
      <c r="M20" s="357"/>
      <c r="N20" s="357"/>
      <c r="O20" s="382"/>
      <c r="P20" s="383"/>
    </row>
    <row r="21" spans="1:16" s="384" customFormat="1" ht="409.5" x14ac:dyDescent="0.2">
      <c r="A21" s="378" t="s">
        <v>77</v>
      </c>
      <c r="B21" s="378" t="s">
        <v>533</v>
      </c>
      <c r="C21" s="378">
        <v>3</v>
      </c>
      <c r="D21" s="378" t="s">
        <v>647</v>
      </c>
      <c r="E21" s="378" t="s">
        <v>333</v>
      </c>
      <c r="F21" s="378" t="s">
        <v>762</v>
      </c>
      <c r="G21" s="378" t="s">
        <v>981</v>
      </c>
      <c r="H21" s="387" t="s">
        <v>1003</v>
      </c>
      <c r="I21" s="381"/>
      <c r="J21" s="352" t="str">
        <f>IFERROR(SUMPRODUCT(ISNUMBER(P_CKDATE)*ISNUMBER(P_RDATA),P_RDATA)/SUMPRODUCT(ISNUMBER(P_CKDATE)*ISNUMBER(P_RDATA)),"")</f>
        <v/>
      </c>
      <c r="K21" s="357"/>
      <c r="L21" s="357"/>
      <c r="M21" s="357"/>
      <c r="N21" s="357"/>
      <c r="O21" s="382"/>
      <c r="P21" s="383"/>
    </row>
    <row r="22" spans="1:16" s="384" customFormat="1" ht="216.75" x14ac:dyDescent="0.2">
      <c r="A22" s="378" t="s">
        <v>78</v>
      </c>
      <c r="B22" s="378" t="s">
        <v>533</v>
      </c>
      <c r="C22" s="378">
        <v>2</v>
      </c>
      <c r="D22" s="378" t="s">
        <v>283</v>
      </c>
      <c r="E22" s="378" t="s">
        <v>763</v>
      </c>
      <c r="F22" s="378" t="s">
        <v>764</v>
      </c>
      <c r="G22" s="378" t="s">
        <v>559</v>
      </c>
      <c r="H22" s="387" t="s">
        <v>1012</v>
      </c>
      <c r="I22" s="381"/>
      <c r="J22" s="352" t="str">
        <f>IFERROR(SUMPRODUCT(ISNUMBER(P_CKDATE)*ISNUMBER(P_RDATA),P_RDATA)/SUMPRODUCT(ISNUMBER(P_CKDATE)*ISNUMBER(P_RDATA)),"")</f>
        <v/>
      </c>
      <c r="K22" s="357"/>
      <c r="L22" s="357"/>
      <c r="M22" s="357"/>
      <c r="N22" s="357"/>
      <c r="O22" s="382"/>
      <c r="P22" s="383"/>
    </row>
    <row r="23" spans="1:16" s="318" customFormat="1" ht="89.25" x14ac:dyDescent="0.2">
      <c r="A23" s="309" t="s">
        <v>79</v>
      </c>
      <c r="B23" s="309" t="s">
        <v>533</v>
      </c>
      <c r="C23" s="310">
        <v>2</v>
      </c>
      <c r="D23" s="310" t="s">
        <v>283</v>
      </c>
      <c r="E23" s="309" t="s">
        <v>297</v>
      </c>
      <c r="F23" s="309" t="s">
        <v>765</v>
      </c>
      <c r="G23" s="310" t="s">
        <v>909</v>
      </c>
      <c r="H23" s="312"/>
      <c r="I23" s="313"/>
      <c r="J23" s="314" t="str">
        <f>IFERROR(SUMPRODUCT(ISNUMBER(P_CKDATE)*ISNUMBER(P_RDATA),P_RDATA)/SUMPRODUCT(ISNUMBER(P_CKDATE)*ISNUMBER(P_RDATA)),"")</f>
        <v/>
      </c>
      <c r="K23" s="315"/>
      <c r="L23" s="315"/>
      <c r="M23" s="315"/>
      <c r="N23" s="315"/>
      <c r="O23" s="316"/>
      <c r="P23" s="317"/>
    </row>
    <row r="24" spans="1:16" s="384" customFormat="1" ht="267.75" x14ac:dyDescent="0.2">
      <c r="A24" s="378" t="s">
        <v>80</v>
      </c>
      <c r="B24" s="378" t="s">
        <v>533</v>
      </c>
      <c r="C24" s="378">
        <v>3</v>
      </c>
      <c r="D24" s="378" t="s">
        <v>647</v>
      </c>
      <c r="E24" s="378" t="s">
        <v>766</v>
      </c>
      <c r="F24" s="378" t="s">
        <v>560</v>
      </c>
      <c r="G24" s="378" t="s">
        <v>561</v>
      </c>
      <c r="H24" s="387" t="s">
        <v>1007</v>
      </c>
      <c r="I24" s="381"/>
      <c r="J24" s="352" t="str">
        <f>IFERROR(SUMPRODUCT(ISNUMBER(P_CKDATE)*ISNUMBER(P_RDATA),P_RDATA)/SUMPRODUCT(ISNUMBER(P_CKDATE)*ISNUMBER(P_RDATA)),"")</f>
        <v/>
      </c>
      <c r="K24" s="357"/>
      <c r="L24" s="357"/>
      <c r="M24" s="357"/>
      <c r="N24" s="357"/>
      <c r="O24" s="382"/>
      <c r="P24" s="383"/>
    </row>
    <row r="25" spans="1:16" s="384" customFormat="1" ht="114.75" x14ac:dyDescent="0.2">
      <c r="A25" s="378" t="s">
        <v>81</v>
      </c>
      <c r="B25" s="378" t="s">
        <v>535</v>
      </c>
      <c r="C25" s="378">
        <v>3</v>
      </c>
      <c r="D25" s="378" t="s">
        <v>647</v>
      </c>
      <c r="E25" s="378" t="s">
        <v>766</v>
      </c>
      <c r="F25" s="378" t="s">
        <v>581</v>
      </c>
      <c r="G25" s="379" t="s">
        <v>1008</v>
      </c>
      <c r="H25" s="388" t="s">
        <v>1000</v>
      </c>
      <c r="I25" s="381"/>
      <c r="J25" s="352" t="str">
        <f>IFERROR(SUMPRODUCT(ISNUMBER(P_CKDATE)*ISNUMBER(P_RDATA),P_RDATA)/SUMPRODUCT(ISNUMBER(P_CKDATE)*ISNUMBER(P_RDATA)),"")</f>
        <v/>
      </c>
      <c r="K25" s="357"/>
      <c r="L25" s="357"/>
      <c r="M25" s="357"/>
      <c r="N25" s="357"/>
      <c r="O25" s="382"/>
      <c r="P25" s="383"/>
    </row>
    <row r="26" spans="1:16" s="384" customFormat="1" ht="127.5" x14ac:dyDescent="0.2">
      <c r="A26" s="378" t="s">
        <v>806</v>
      </c>
      <c r="B26" s="378" t="s">
        <v>535</v>
      </c>
      <c r="C26" s="378">
        <v>3</v>
      </c>
      <c r="D26" s="378" t="s">
        <v>647</v>
      </c>
      <c r="E26" s="378" t="s">
        <v>654</v>
      </c>
      <c r="F26" s="378" t="s">
        <v>767</v>
      </c>
      <c r="G26" s="379" t="s">
        <v>1009</v>
      </c>
      <c r="H26" s="388" t="s">
        <v>1000</v>
      </c>
      <c r="I26" s="381"/>
      <c r="J26" s="352" t="str">
        <f>IFERROR(SUMPRODUCT(ISNUMBER(P_CKDATE)*ISNUMBER(P_RDATA),P_RDATA)/SUMPRODUCT(ISNUMBER(P_CKDATE)*ISNUMBER(P_RDATA)),"")</f>
        <v/>
      </c>
      <c r="K26" s="357"/>
      <c r="L26" s="357"/>
      <c r="M26" s="357"/>
      <c r="N26" s="357"/>
      <c r="O26" s="382"/>
      <c r="P26" s="383"/>
    </row>
    <row r="27" spans="1:16" s="384" customFormat="1" ht="153" x14ac:dyDescent="0.2">
      <c r="A27" s="378" t="s">
        <v>82</v>
      </c>
      <c r="B27" s="378" t="s">
        <v>535</v>
      </c>
      <c r="C27" s="378">
        <v>3</v>
      </c>
      <c r="D27" s="378" t="s">
        <v>647</v>
      </c>
      <c r="E27" s="378" t="s">
        <v>768</v>
      </c>
      <c r="F27" s="378" t="s">
        <v>769</v>
      </c>
      <c r="G27" s="378" t="s">
        <v>910</v>
      </c>
      <c r="H27" s="388" t="s">
        <v>1000</v>
      </c>
      <c r="I27" s="381"/>
      <c r="J27" s="352" t="str">
        <f>IFERROR(SUMPRODUCT(ISNUMBER(P_CKDATE)*ISNUMBER(P_RDATA),P_RDATA)/SUMPRODUCT(ISNUMBER(P_CKDATE)*ISNUMBER(P_RDATA)),"")</f>
        <v/>
      </c>
      <c r="K27" s="357"/>
      <c r="L27" s="357"/>
      <c r="M27" s="357"/>
      <c r="N27" s="357"/>
      <c r="O27" s="382"/>
      <c r="P27" s="383"/>
    </row>
    <row r="28" spans="1:16" s="384" customFormat="1" ht="204" x14ac:dyDescent="0.2">
      <c r="A28" s="378" t="s">
        <v>83</v>
      </c>
      <c r="B28" s="378" t="s">
        <v>533</v>
      </c>
      <c r="C28" s="378">
        <v>2</v>
      </c>
      <c r="D28" s="378" t="s">
        <v>283</v>
      </c>
      <c r="E28" s="378" t="s">
        <v>763</v>
      </c>
      <c r="F28" s="378" t="s">
        <v>770</v>
      </c>
      <c r="G28" s="378" t="s">
        <v>771</v>
      </c>
      <c r="H28" s="387" t="s">
        <v>1007</v>
      </c>
      <c r="I28" s="381"/>
      <c r="J28" s="352" t="str">
        <f>IFERROR(SUMPRODUCT(ISNUMBER(P_CKDATE)*ISNUMBER(P_RDATA),P_RDATA)/SUMPRODUCT(ISNUMBER(P_CKDATE)*ISNUMBER(P_RDATA)),"")</f>
        <v/>
      </c>
      <c r="K28" s="357"/>
      <c r="L28" s="357"/>
      <c r="M28" s="357"/>
      <c r="N28" s="357"/>
      <c r="O28" s="382"/>
      <c r="P28" s="383"/>
    </row>
    <row r="29" spans="1:16" s="384" customFormat="1" ht="204" x14ac:dyDescent="0.2">
      <c r="A29" s="378" t="s">
        <v>84</v>
      </c>
      <c r="B29" s="378" t="s">
        <v>533</v>
      </c>
      <c r="C29" s="378">
        <v>2</v>
      </c>
      <c r="D29" s="378" t="s">
        <v>283</v>
      </c>
      <c r="E29" s="378" t="s">
        <v>768</v>
      </c>
      <c r="F29" s="378" t="s">
        <v>772</v>
      </c>
      <c r="G29" s="378" t="s">
        <v>430</v>
      </c>
      <c r="H29" s="387" t="s">
        <v>1007</v>
      </c>
      <c r="I29" s="381"/>
      <c r="J29" s="352" t="str">
        <f>IFERROR(SUMPRODUCT(ISNUMBER(P_CKDATE)*ISNUMBER(P_RDATA),P_RDATA)/SUMPRODUCT(ISNUMBER(P_CKDATE)*ISNUMBER(P_RDATA)),"")</f>
        <v/>
      </c>
      <c r="K29" s="357"/>
      <c r="L29" s="357"/>
      <c r="M29" s="357"/>
      <c r="N29" s="357"/>
      <c r="O29" s="382"/>
      <c r="P29" s="383"/>
    </row>
    <row r="30" spans="1:16" s="321" customFormat="1" ht="165.75" x14ac:dyDescent="0.2">
      <c r="A30" s="309" t="s">
        <v>85</v>
      </c>
      <c r="B30" s="309" t="s">
        <v>535</v>
      </c>
      <c r="C30" s="310">
        <v>2</v>
      </c>
      <c r="D30" s="310" t="s">
        <v>283</v>
      </c>
      <c r="E30" s="309" t="s">
        <v>306</v>
      </c>
      <c r="F30" s="309" t="s">
        <v>730</v>
      </c>
      <c r="G30" s="310" t="s">
        <v>302</v>
      </c>
      <c r="H30" s="377" t="s">
        <v>1010</v>
      </c>
      <c r="I30" s="313"/>
      <c r="J30" s="314" t="str">
        <f>IFERROR(SUMPRODUCT(ISNUMBER(P_CKDATE)*ISNUMBER(P_RDATA),P_RDATA)/SUMPRODUCT(ISNUMBER(P_CKDATE)*ISNUMBER(P_RDATA)),"")</f>
        <v/>
      </c>
      <c r="K30" s="315"/>
      <c r="L30" s="319"/>
      <c r="M30" s="319"/>
      <c r="N30" s="319"/>
      <c r="O30" s="320"/>
      <c r="P30" s="317"/>
    </row>
    <row r="31" spans="1:16" s="318" customFormat="1" ht="191.25" x14ac:dyDescent="0.2">
      <c r="A31" s="309" t="s">
        <v>86</v>
      </c>
      <c r="B31" s="309" t="s">
        <v>534</v>
      </c>
      <c r="C31" s="310">
        <v>2</v>
      </c>
      <c r="D31" s="310" t="s">
        <v>283</v>
      </c>
      <c r="E31" s="311" t="s">
        <v>306</v>
      </c>
      <c r="F31" s="311" t="s">
        <v>911</v>
      </c>
      <c r="G31" s="310" t="s">
        <v>982</v>
      </c>
      <c r="H31" s="312"/>
      <c r="I31" s="313"/>
      <c r="J31" s="314" t="str">
        <f>IFERROR(SUMPRODUCT(ISNUMBER(P_CKDATE)*ISNUMBER(P_RDATA),P_RDATA)/SUMPRODUCT(ISNUMBER(P_CKDATE)*ISNUMBER(P_RDATA)),"")</f>
        <v/>
      </c>
      <c r="K31" s="315"/>
      <c r="L31" s="315"/>
      <c r="M31" s="315"/>
      <c r="N31" s="315"/>
      <c r="O31" s="316"/>
      <c r="P31" s="317"/>
    </row>
    <row r="32" spans="1:16" s="321" customFormat="1" ht="191.25" hidden="1" x14ac:dyDescent="0.2">
      <c r="A32" s="309" t="s">
        <v>86</v>
      </c>
      <c r="B32" s="309" t="s">
        <v>537</v>
      </c>
      <c r="C32" s="310">
        <v>2</v>
      </c>
      <c r="D32" s="310" t="s">
        <v>283</v>
      </c>
      <c r="E32" s="309" t="s">
        <v>306</v>
      </c>
      <c r="F32" s="309" t="s">
        <v>911</v>
      </c>
      <c r="G32" s="310" t="s">
        <v>983</v>
      </c>
      <c r="H32" s="312"/>
      <c r="I32" s="313"/>
      <c r="J32" s="314" t="str">
        <f>IFERROR(SUMPRODUCT(ISNUMBER(P_CKDATE)*ISNUMBER(P_RDATA),P_RDATA)/SUMPRODUCT(ISNUMBER(P_CKDATE)*ISNUMBER(P_RDATA)),"")</f>
        <v/>
      </c>
      <c r="K32" s="315"/>
      <c r="L32" s="319"/>
      <c r="M32" s="319"/>
      <c r="N32" s="319"/>
      <c r="O32" s="320"/>
      <c r="P32" s="317"/>
    </row>
    <row r="33" spans="1:16" s="321" customFormat="1" ht="280.5" hidden="1" x14ac:dyDescent="0.2">
      <c r="A33" s="309" t="s">
        <v>86</v>
      </c>
      <c r="B33" s="309" t="s">
        <v>538</v>
      </c>
      <c r="C33" s="310">
        <v>2</v>
      </c>
      <c r="D33" s="310" t="s">
        <v>283</v>
      </c>
      <c r="E33" s="309" t="s">
        <v>306</v>
      </c>
      <c r="F33" s="309" t="s">
        <v>911</v>
      </c>
      <c r="G33" s="310" t="s">
        <v>984</v>
      </c>
      <c r="H33" s="312"/>
      <c r="I33" s="313"/>
      <c r="J33" s="314" t="str">
        <f>IFERROR(SUMPRODUCT(ISNUMBER(P_CKDATE)*ISNUMBER(P_RDATA),P_RDATA)/SUMPRODUCT(ISNUMBER(P_CKDATE)*ISNUMBER(P_RDATA)),"")</f>
        <v/>
      </c>
      <c r="K33" s="315"/>
      <c r="L33" s="319"/>
      <c r="M33" s="319"/>
      <c r="N33" s="319"/>
      <c r="O33" s="320"/>
      <c r="P33" s="317"/>
    </row>
    <row r="34" spans="1:16" s="318" customFormat="1" ht="51" x14ac:dyDescent="0.2">
      <c r="A34" s="309" t="s">
        <v>87</v>
      </c>
      <c r="B34" s="309" t="s">
        <v>533</v>
      </c>
      <c r="C34" s="310">
        <v>2</v>
      </c>
      <c r="D34" s="310"/>
      <c r="E34" s="311" t="s">
        <v>306</v>
      </c>
      <c r="F34" s="324" t="s">
        <v>773</v>
      </c>
      <c r="G34" s="310" t="s">
        <v>0</v>
      </c>
      <c r="H34" s="312"/>
      <c r="I34" s="313"/>
      <c r="J34" s="315"/>
      <c r="K34" s="315"/>
      <c r="L34" s="315"/>
      <c r="M34" s="315"/>
      <c r="N34" s="315"/>
      <c r="O34" s="316"/>
      <c r="P34" s="317"/>
    </row>
    <row r="35" spans="1:16" s="321" customFormat="1" ht="76.5" x14ac:dyDescent="0.2">
      <c r="A35" s="309" t="s">
        <v>88</v>
      </c>
      <c r="B35" s="309" t="s">
        <v>533</v>
      </c>
      <c r="C35" s="310">
        <v>2</v>
      </c>
      <c r="D35" s="310" t="s">
        <v>283</v>
      </c>
      <c r="E35" s="309" t="s">
        <v>306</v>
      </c>
      <c r="F35" s="129" t="s">
        <v>370</v>
      </c>
      <c r="G35" s="374" t="s">
        <v>1014</v>
      </c>
      <c r="H35" s="375" t="s">
        <v>1015</v>
      </c>
      <c r="I35" s="313"/>
      <c r="J35" s="314" t="str">
        <f>IFERROR(SUMPRODUCT(ISNUMBER(P_CKDATE)*ISNUMBER(P_RDATA),P_RDATA)/SUMPRODUCT(ISNUMBER(P_CKDATE)*ISNUMBER(P_RDATA)),"")</f>
        <v/>
      </c>
      <c r="K35" s="315"/>
      <c r="L35" s="319"/>
      <c r="M35" s="319"/>
      <c r="N35" s="319"/>
      <c r="O35" s="320"/>
      <c r="P35" s="317"/>
    </row>
    <row r="36" spans="1:16" s="384" customFormat="1" ht="114.75" x14ac:dyDescent="0.2">
      <c r="A36" s="378" t="s">
        <v>89</v>
      </c>
      <c r="B36" s="378" t="s">
        <v>533</v>
      </c>
      <c r="C36" s="378"/>
      <c r="D36" s="378" t="s">
        <v>970</v>
      </c>
      <c r="E36" s="378" t="s">
        <v>306</v>
      </c>
      <c r="F36" s="389" t="s">
        <v>454</v>
      </c>
      <c r="G36" s="378" t="s">
        <v>912</v>
      </c>
      <c r="H36" s="387" t="s">
        <v>1016</v>
      </c>
      <c r="I36" s="381"/>
      <c r="J36" s="352" t="str">
        <f>IFERROR(SUMPRODUCT(ISNUMBER(P_CKDATE)*ISNUMBER(P_RDATA),P_RDATA)/SUMPRODUCT(ISNUMBER(P_CKDATE)*ISNUMBER(P_RDATA)),"")</f>
        <v/>
      </c>
      <c r="K36" s="357"/>
      <c r="L36" s="357"/>
      <c r="M36" s="357"/>
      <c r="N36" s="357"/>
      <c r="O36" s="382"/>
      <c r="P36" s="383"/>
    </row>
    <row r="37" spans="1:16" s="321" customFormat="1" ht="127.5" x14ac:dyDescent="0.2">
      <c r="A37" s="309" t="s">
        <v>371</v>
      </c>
      <c r="B37" s="309" t="s">
        <v>536</v>
      </c>
      <c r="C37" s="310">
        <v>3</v>
      </c>
      <c r="D37" s="310" t="s">
        <v>647</v>
      </c>
      <c r="E37" s="309" t="s">
        <v>306</v>
      </c>
      <c r="F37" s="129" t="s">
        <v>774</v>
      </c>
      <c r="G37" s="310" t="s">
        <v>913</v>
      </c>
      <c r="H37" s="377" t="s">
        <v>1017</v>
      </c>
      <c r="I37" s="313"/>
      <c r="J37" s="314" t="str">
        <f>IFERROR(SUMPRODUCT(ISNUMBER(P_CKDATE)*ISNUMBER(P_RDATA),P_RDATA)/SUMPRODUCT(ISNUMBER(P_CKDATE)*ISNUMBER(P_RDATA)),"")</f>
        <v/>
      </c>
      <c r="K37" s="315"/>
      <c r="L37" s="319"/>
      <c r="M37" s="319"/>
      <c r="N37" s="319"/>
      <c r="O37" s="320"/>
      <c r="P37" s="317"/>
    </row>
    <row r="38" spans="1:16" s="321" customFormat="1" ht="114.75" hidden="1" x14ac:dyDescent="0.2">
      <c r="A38" s="309" t="s">
        <v>371</v>
      </c>
      <c r="B38" s="309" t="s">
        <v>537</v>
      </c>
      <c r="C38" s="310">
        <v>3</v>
      </c>
      <c r="D38" s="310" t="s">
        <v>647</v>
      </c>
      <c r="E38" s="309" t="s">
        <v>306</v>
      </c>
      <c r="F38" s="129" t="s">
        <v>562</v>
      </c>
      <c r="G38" s="310" t="s">
        <v>742</v>
      </c>
      <c r="H38" s="312"/>
      <c r="I38" s="313"/>
      <c r="J38" s="314" t="str">
        <f>IFERROR(SUMPRODUCT(ISNUMBER(P_CKDATE)*ISNUMBER(P_RDATA),P_RDATA)/SUMPRODUCT(ISNUMBER(P_CKDATE)*ISNUMBER(P_RDATA)),"")</f>
        <v/>
      </c>
      <c r="K38" s="315"/>
      <c r="L38" s="319"/>
      <c r="M38" s="319"/>
      <c r="N38" s="319"/>
      <c r="O38" s="320"/>
      <c r="P38" s="317"/>
    </row>
    <row r="39" spans="1:16" s="318" customFormat="1" ht="38.25" x14ac:dyDescent="0.2">
      <c r="A39" s="309" t="s">
        <v>90</v>
      </c>
      <c r="B39" s="309" t="s">
        <v>534</v>
      </c>
      <c r="C39" s="310">
        <v>2</v>
      </c>
      <c r="D39" s="310" t="s">
        <v>283</v>
      </c>
      <c r="E39" s="311" t="s">
        <v>306</v>
      </c>
      <c r="F39" s="130" t="s">
        <v>455</v>
      </c>
      <c r="G39" s="310" t="s">
        <v>743</v>
      </c>
      <c r="H39" s="312"/>
      <c r="I39" s="313"/>
      <c r="J39" s="314" t="str">
        <f>IFERROR(SUMPRODUCT(ISNUMBER(P_CKDATE)*ISNUMBER(P_RDATA),P_RDATA)/SUMPRODUCT(ISNUMBER(P_CKDATE)*ISNUMBER(P_RDATA)),"")</f>
        <v/>
      </c>
      <c r="K39" s="315"/>
      <c r="L39" s="315"/>
      <c r="M39" s="315"/>
      <c r="N39" s="315"/>
      <c r="O39" s="316"/>
      <c r="P39" s="317"/>
    </row>
    <row r="40" spans="1:16" s="321" customFormat="1" ht="51" hidden="1" x14ac:dyDescent="0.2">
      <c r="A40" s="309" t="s">
        <v>90</v>
      </c>
      <c r="B40" s="309" t="s">
        <v>537</v>
      </c>
      <c r="C40" s="310">
        <v>2</v>
      </c>
      <c r="D40" s="310" t="s">
        <v>283</v>
      </c>
      <c r="E40" s="309" t="s">
        <v>306</v>
      </c>
      <c r="F40" s="129" t="s">
        <v>455</v>
      </c>
      <c r="G40" s="310" t="s">
        <v>744</v>
      </c>
      <c r="H40" s="312"/>
      <c r="I40" s="313"/>
      <c r="J40" s="314" t="str">
        <f>IFERROR(SUMPRODUCT(ISNUMBER(P_CKDATE)*ISNUMBER(P_RDATA),P_RDATA)/SUMPRODUCT(ISNUMBER(P_CKDATE)*ISNUMBER(P_RDATA)),"")</f>
        <v/>
      </c>
      <c r="K40" s="315"/>
      <c r="L40" s="319"/>
      <c r="M40" s="319"/>
      <c r="N40" s="319"/>
      <c r="O40" s="320"/>
      <c r="P40" s="317"/>
    </row>
    <row r="41" spans="1:16" s="318" customFormat="1" ht="51" x14ac:dyDescent="0.2">
      <c r="A41" s="309" t="s">
        <v>91</v>
      </c>
      <c r="B41" s="309" t="s">
        <v>534</v>
      </c>
      <c r="C41" s="310">
        <v>2</v>
      </c>
      <c r="D41" s="310" t="s">
        <v>283</v>
      </c>
      <c r="E41" s="311" t="s">
        <v>306</v>
      </c>
      <c r="F41" s="130" t="s">
        <v>456</v>
      </c>
      <c r="G41" s="310" t="s">
        <v>914</v>
      </c>
      <c r="H41" s="312"/>
      <c r="I41" s="313"/>
      <c r="J41" s="314" t="str">
        <f>IFERROR(SUMPRODUCT(ISNUMBER(P_CKDATE)*ISNUMBER(P_RDATA),P_RDATA)/SUMPRODUCT(ISNUMBER(P_CKDATE)*ISNUMBER(P_RDATA)),"")</f>
        <v/>
      </c>
      <c r="K41" s="315"/>
      <c r="L41" s="315"/>
      <c r="M41" s="315"/>
      <c r="N41" s="315"/>
      <c r="O41" s="316"/>
      <c r="P41" s="317"/>
    </row>
    <row r="42" spans="1:16" s="321" customFormat="1" ht="51" hidden="1" x14ac:dyDescent="0.2">
      <c r="A42" s="309" t="s">
        <v>91</v>
      </c>
      <c r="B42" s="309" t="s">
        <v>537</v>
      </c>
      <c r="C42" s="310">
        <v>2</v>
      </c>
      <c r="D42" s="310" t="s">
        <v>283</v>
      </c>
      <c r="E42" s="309" t="s">
        <v>306</v>
      </c>
      <c r="F42" s="129" t="s">
        <v>456</v>
      </c>
      <c r="G42" s="310" t="s">
        <v>914</v>
      </c>
      <c r="H42" s="312"/>
      <c r="I42" s="313"/>
      <c r="J42" s="314" t="str">
        <f>IFERROR(SUMPRODUCT(ISNUMBER(P_CKDATE)*ISNUMBER(P_RDATA),P_RDATA)/SUMPRODUCT(ISNUMBER(P_CKDATE)*ISNUMBER(P_RDATA)),"")</f>
        <v/>
      </c>
      <c r="K42" s="315"/>
      <c r="L42" s="319"/>
      <c r="M42" s="319"/>
      <c r="N42" s="319"/>
      <c r="O42" s="320"/>
      <c r="P42" s="317"/>
    </row>
    <row r="43" spans="1:16" s="318" customFormat="1" ht="51" x14ac:dyDescent="0.2">
      <c r="A43" s="309" t="s">
        <v>92</v>
      </c>
      <c r="B43" s="309" t="s">
        <v>534</v>
      </c>
      <c r="C43" s="310">
        <v>3</v>
      </c>
      <c r="D43" s="310" t="s">
        <v>286</v>
      </c>
      <c r="E43" s="311" t="s">
        <v>306</v>
      </c>
      <c r="F43" s="130" t="s">
        <v>338</v>
      </c>
      <c r="G43" s="310" t="s">
        <v>915</v>
      </c>
      <c r="H43" s="312"/>
      <c r="I43" s="313"/>
      <c r="J43" s="314" t="str">
        <f>IFERROR(SUMPRODUCT(ISNUMBER(P_CKDATE)*ISNUMBER(P_RDATA),P_RDATA)/SUMPRODUCT(ISNUMBER(P_CKDATE)*ISNUMBER(P_RDATA)),"")</f>
        <v/>
      </c>
      <c r="K43" s="315"/>
      <c r="L43" s="315"/>
      <c r="M43" s="315"/>
      <c r="N43" s="315"/>
      <c r="O43" s="316"/>
      <c r="P43" s="317"/>
    </row>
    <row r="44" spans="1:16" s="321" customFormat="1" ht="51" hidden="1" x14ac:dyDescent="0.2">
      <c r="A44" s="309" t="s">
        <v>92</v>
      </c>
      <c r="B44" s="309" t="s">
        <v>537</v>
      </c>
      <c r="C44" s="310">
        <v>3</v>
      </c>
      <c r="D44" s="310" t="s">
        <v>286</v>
      </c>
      <c r="E44" s="309" t="s">
        <v>306</v>
      </c>
      <c r="F44" s="129" t="s">
        <v>338</v>
      </c>
      <c r="G44" s="310" t="s">
        <v>916</v>
      </c>
      <c r="H44" s="312"/>
      <c r="I44" s="313"/>
      <c r="J44" s="314" t="str">
        <f>IFERROR(SUMPRODUCT(ISNUMBER(P_CKDATE)*ISNUMBER(P_RDATA),P_RDATA)/SUMPRODUCT(ISNUMBER(P_CKDATE)*ISNUMBER(P_RDATA)),"")</f>
        <v/>
      </c>
      <c r="K44" s="315"/>
      <c r="L44" s="319"/>
      <c r="M44" s="319"/>
      <c r="N44" s="319"/>
      <c r="O44" s="320"/>
      <c r="P44" s="317"/>
    </row>
    <row r="45" spans="1:16" s="318" customFormat="1" x14ac:dyDescent="0.2">
      <c r="A45" s="309" t="s">
        <v>93</v>
      </c>
      <c r="B45" s="309" t="s">
        <v>535</v>
      </c>
      <c r="C45" s="310">
        <v>3</v>
      </c>
      <c r="D45" s="310" t="s">
        <v>286</v>
      </c>
      <c r="E45" s="311" t="s">
        <v>306</v>
      </c>
      <c r="F45" s="130" t="s">
        <v>457</v>
      </c>
      <c r="G45" s="29"/>
      <c r="H45" s="312"/>
      <c r="I45" s="313"/>
      <c r="J45" s="314" t="str">
        <f>IFERROR(SUMPRODUCT(ISNUMBER(P_CKDATE)*ISNUMBER(P_RDATA),P_RDATA)/SUMPRODUCT(ISNUMBER(P_CKDATE)*ISNUMBER(P_RDATA)),"")</f>
        <v/>
      </c>
      <c r="K45" s="315"/>
      <c r="L45" s="315"/>
      <c r="M45" s="315"/>
      <c r="N45" s="315"/>
      <c r="O45" s="316"/>
      <c r="P45" s="317"/>
    </row>
    <row r="46" spans="1:16" s="327" customFormat="1" x14ac:dyDescent="0.2">
      <c r="A46" s="310" t="s">
        <v>897</v>
      </c>
      <c r="B46" s="310" t="s">
        <v>535</v>
      </c>
      <c r="C46" s="310">
        <v>3</v>
      </c>
      <c r="D46" s="310" t="s">
        <v>648</v>
      </c>
      <c r="E46" s="310" t="s">
        <v>306</v>
      </c>
      <c r="F46" s="131" t="s">
        <v>655</v>
      </c>
      <c r="G46" s="310"/>
      <c r="H46" s="312"/>
      <c r="I46" s="313"/>
      <c r="J46" s="314" t="str">
        <f>IFERROR(SUMPRODUCT(ISNUMBER(P_CKDATE)*ISNUMBER(P_RDATA),P_RDATA)/SUMPRODUCT(ISNUMBER(P_CKDATE)*ISNUMBER(P_RDATA)),"")</f>
        <v/>
      </c>
      <c r="K46" s="325"/>
      <c r="L46" s="325"/>
      <c r="M46" s="325"/>
      <c r="N46" s="325"/>
      <c r="O46" s="326"/>
      <c r="P46" s="317"/>
    </row>
    <row r="47" spans="1:16" s="384" customFormat="1" ht="293.25" x14ac:dyDescent="0.2">
      <c r="A47" s="378" t="s">
        <v>898</v>
      </c>
      <c r="B47" s="378" t="s">
        <v>533</v>
      </c>
      <c r="C47" s="378">
        <v>3</v>
      </c>
      <c r="D47" s="378" t="s">
        <v>649</v>
      </c>
      <c r="E47" s="378" t="s">
        <v>306</v>
      </c>
      <c r="F47" s="389" t="s">
        <v>656</v>
      </c>
      <c r="G47" s="378" t="s">
        <v>917</v>
      </c>
      <c r="H47" s="391"/>
      <c r="I47" s="381"/>
      <c r="J47" s="352" t="str">
        <f>IFERROR(SUMPRODUCT(ISNUMBER(P_CKDATE)*ISNUMBER(P_RDATA),P_RDATA)/SUMPRODUCT(ISNUMBER(P_CKDATE)*ISNUMBER(P_RDATA)),"")</f>
        <v/>
      </c>
      <c r="K47" s="357"/>
      <c r="L47" s="357"/>
      <c r="M47" s="357"/>
      <c r="N47" s="357"/>
      <c r="O47" s="382"/>
      <c r="P47" s="383"/>
    </row>
    <row r="48" spans="1:16" s="323" customFormat="1" ht="63.75" x14ac:dyDescent="0.2">
      <c r="A48" s="309" t="s">
        <v>94</v>
      </c>
      <c r="B48" s="309" t="s">
        <v>534</v>
      </c>
      <c r="C48" s="310">
        <v>3</v>
      </c>
      <c r="D48" s="310" t="s">
        <v>286</v>
      </c>
      <c r="E48" s="311" t="s">
        <v>306</v>
      </c>
      <c r="F48" s="130" t="s">
        <v>458</v>
      </c>
      <c r="G48" s="310" t="s">
        <v>918</v>
      </c>
      <c r="H48" s="312"/>
      <c r="I48" s="313"/>
      <c r="J48" s="314" t="str">
        <f>IFERROR(SUMPRODUCT(ISNUMBER(P_CKDATE)*ISNUMBER(P_RDATA),P_RDATA)/SUMPRODUCT(ISNUMBER(P_CKDATE)*ISNUMBER(P_RDATA)),"")</f>
        <v/>
      </c>
      <c r="K48" s="315"/>
      <c r="L48" s="328"/>
      <c r="M48" s="328"/>
      <c r="N48" s="328"/>
      <c r="O48" s="329"/>
      <c r="P48" s="317"/>
    </row>
    <row r="49" spans="1:16" s="318" customFormat="1" ht="63.75" hidden="1" x14ac:dyDescent="0.2">
      <c r="A49" s="309" t="s">
        <v>94</v>
      </c>
      <c r="B49" s="309" t="s">
        <v>537</v>
      </c>
      <c r="C49" s="310">
        <v>3</v>
      </c>
      <c r="D49" s="310" t="s">
        <v>286</v>
      </c>
      <c r="E49" s="309" t="s">
        <v>306</v>
      </c>
      <c r="F49" s="129" t="s">
        <v>458</v>
      </c>
      <c r="G49" s="310" t="s">
        <v>918</v>
      </c>
      <c r="H49" s="312"/>
      <c r="I49" s="313"/>
      <c r="J49" s="314" t="str">
        <f>IFERROR(SUMPRODUCT(ISNUMBER(P_CKDATE)*ISNUMBER(P_RDATA),P_RDATA)/SUMPRODUCT(ISNUMBER(P_CKDATE)*ISNUMBER(P_RDATA)),"")</f>
        <v/>
      </c>
      <c r="K49" s="315"/>
      <c r="L49" s="315"/>
      <c r="M49" s="315"/>
      <c r="N49" s="315"/>
      <c r="O49" s="316"/>
      <c r="P49" s="317"/>
    </row>
    <row r="50" spans="1:16" s="318" customFormat="1" ht="25.5" x14ac:dyDescent="0.2">
      <c r="A50" s="309" t="s">
        <v>95</v>
      </c>
      <c r="B50" s="309" t="s">
        <v>533</v>
      </c>
      <c r="C50" s="310">
        <v>2</v>
      </c>
      <c r="D50" s="310" t="s">
        <v>285</v>
      </c>
      <c r="E50" s="311" t="s">
        <v>306</v>
      </c>
      <c r="F50" s="130" t="s">
        <v>285</v>
      </c>
      <c r="G50" s="310" t="s">
        <v>459</v>
      </c>
      <c r="H50" s="312"/>
      <c r="I50" s="313"/>
      <c r="J50" s="314" t="str">
        <f>IFERROR(SUMPRODUCT(ISNUMBER(P_CKDATE)*ISNUMBER(P_RDATA),P_RDATA)/SUMPRODUCT(ISNUMBER(P_CKDATE)*ISNUMBER(P_RDATA)),"")</f>
        <v/>
      </c>
      <c r="K50" s="315"/>
      <c r="L50" s="315"/>
      <c r="M50" s="315"/>
      <c r="N50" s="315"/>
      <c r="O50" s="316"/>
      <c r="P50" s="317"/>
    </row>
    <row r="51" spans="1:16" s="318" customFormat="1" ht="140.25" x14ac:dyDescent="0.2">
      <c r="A51" s="309" t="s">
        <v>96</v>
      </c>
      <c r="B51" s="309" t="s">
        <v>533</v>
      </c>
      <c r="C51" s="310">
        <v>2</v>
      </c>
      <c r="D51" s="310" t="s">
        <v>283</v>
      </c>
      <c r="E51" s="311" t="s">
        <v>306</v>
      </c>
      <c r="F51" s="130" t="s">
        <v>375</v>
      </c>
      <c r="G51" s="310" t="s">
        <v>919</v>
      </c>
      <c r="H51" s="312"/>
      <c r="I51" s="313"/>
      <c r="J51" s="314" t="str">
        <f>IFERROR(SUMPRODUCT(ISNUMBER(P_CKDATE)*ISNUMBER(P_RDATA),P_RDATA)/SUMPRODUCT(ISNUMBER(P_CKDATE)*ISNUMBER(P_RDATA)),"")</f>
        <v/>
      </c>
      <c r="K51" s="315"/>
      <c r="L51" s="315"/>
      <c r="M51" s="315"/>
      <c r="N51" s="315"/>
      <c r="O51" s="316"/>
      <c r="P51" s="317"/>
    </row>
    <row r="52" spans="1:16" s="384" customFormat="1" ht="63.75" x14ac:dyDescent="0.2">
      <c r="A52" s="378" t="s">
        <v>97</v>
      </c>
      <c r="B52" s="378" t="s">
        <v>535</v>
      </c>
      <c r="C52" s="378">
        <v>2</v>
      </c>
      <c r="D52" s="378" t="s">
        <v>283</v>
      </c>
      <c r="E52" s="378" t="s">
        <v>306</v>
      </c>
      <c r="F52" s="389" t="s">
        <v>307</v>
      </c>
      <c r="G52" s="390"/>
      <c r="H52" s="387" t="s">
        <v>1020</v>
      </c>
      <c r="I52" s="381"/>
      <c r="J52" s="352" t="str">
        <f>IFERROR(SUMPRODUCT(ISNUMBER(P_CKDATE)*ISNUMBER(P_RDATA),P_RDATA)/SUMPRODUCT(ISNUMBER(P_CKDATE)*ISNUMBER(P_RDATA)),"")</f>
        <v/>
      </c>
      <c r="K52" s="357"/>
      <c r="L52" s="357"/>
      <c r="M52" s="357"/>
      <c r="N52" s="357"/>
      <c r="O52" s="382"/>
      <c r="P52" s="383"/>
    </row>
    <row r="53" spans="1:16" s="318" customFormat="1" ht="25.5" x14ac:dyDescent="0.2">
      <c r="A53" s="309" t="s">
        <v>460</v>
      </c>
      <c r="B53" s="309" t="s">
        <v>535</v>
      </c>
      <c r="C53" s="310">
        <v>2</v>
      </c>
      <c r="D53" s="310" t="s">
        <v>650</v>
      </c>
      <c r="E53" s="311" t="s">
        <v>306</v>
      </c>
      <c r="F53" s="133" t="s">
        <v>461</v>
      </c>
      <c r="G53" s="310" t="s">
        <v>462</v>
      </c>
      <c r="H53" s="312"/>
      <c r="I53" s="313"/>
      <c r="J53" s="314" t="str">
        <f>IFERROR(SUMPRODUCT(ISNUMBER(P_CKDATE)*ISNUMBER(P_RDATA),P_RDATA)/SUMPRODUCT(ISNUMBER(P_CKDATE)*ISNUMBER(P_RDATA)),"")</f>
        <v/>
      </c>
      <c r="K53" s="315"/>
      <c r="L53" s="315"/>
      <c r="M53" s="315"/>
      <c r="N53" s="315"/>
      <c r="O53" s="316"/>
      <c r="P53" s="317"/>
    </row>
    <row r="54" spans="1:16" s="318" customFormat="1" hidden="1" x14ac:dyDescent="0.2">
      <c r="A54" s="309" t="s">
        <v>460</v>
      </c>
      <c r="B54" s="309" t="s">
        <v>538</v>
      </c>
      <c r="C54" s="310">
        <v>2</v>
      </c>
      <c r="D54" s="310" t="s">
        <v>650</v>
      </c>
      <c r="E54" s="309" t="s">
        <v>306</v>
      </c>
      <c r="F54" s="134" t="s">
        <v>461</v>
      </c>
      <c r="G54" s="310" t="s">
        <v>563</v>
      </c>
      <c r="H54" s="312"/>
      <c r="I54" s="313"/>
      <c r="J54" s="314" t="str">
        <f>IFERROR(SUMPRODUCT(ISNUMBER(P_CKDATE)*ISNUMBER(P_RDATA),P_RDATA)/SUMPRODUCT(ISNUMBER(P_CKDATE)*ISNUMBER(P_RDATA)),"")</f>
        <v/>
      </c>
      <c r="K54" s="315"/>
      <c r="L54" s="315"/>
      <c r="M54" s="315"/>
      <c r="N54" s="315"/>
      <c r="O54" s="316"/>
      <c r="P54" s="317"/>
    </row>
    <row r="55" spans="1:16" s="321" customFormat="1" ht="38.25" x14ac:dyDescent="0.2">
      <c r="A55" s="309" t="s">
        <v>98</v>
      </c>
      <c r="B55" s="309" t="s">
        <v>533</v>
      </c>
      <c r="C55" s="310">
        <v>2</v>
      </c>
      <c r="D55" s="310" t="s">
        <v>283</v>
      </c>
      <c r="E55" s="311" t="s">
        <v>306</v>
      </c>
      <c r="F55" s="311" t="s">
        <v>440</v>
      </c>
      <c r="G55" s="310" t="s">
        <v>431</v>
      </c>
      <c r="H55" s="312"/>
      <c r="I55" s="313"/>
      <c r="J55" s="314" t="str">
        <f>IFERROR(SUMPRODUCT(ISNUMBER(P_CKDATE)*ISNUMBER(P_RDATA),P_RDATA)/SUMPRODUCT(ISNUMBER(P_CKDATE)*ISNUMBER(P_RDATA)),"")</f>
        <v/>
      </c>
      <c r="K55" s="315"/>
      <c r="L55" s="319"/>
      <c r="M55" s="319"/>
      <c r="N55" s="319"/>
      <c r="O55" s="320"/>
      <c r="P55" s="317"/>
    </row>
    <row r="56" spans="1:16" s="321" customFormat="1" ht="140.25" x14ac:dyDescent="0.2">
      <c r="A56" s="309" t="s">
        <v>99</v>
      </c>
      <c r="B56" s="309" t="s">
        <v>533</v>
      </c>
      <c r="C56" s="310">
        <v>2</v>
      </c>
      <c r="D56" s="310" t="s">
        <v>283</v>
      </c>
      <c r="E56" s="311" t="s">
        <v>345</v>
      </c>
      <c r="F56" s="311" t="s">
        <v>317</v>
      </c>
      <c r="G56" s="310" t="s">
        <v>775</v>
      </c>
      <c r="H56" s="377" t="s">
        <v>1024</v>
      </c>
      <c r="I56" s="313"/>
      <c r="J56" s="314" t="str">
        <f>IFERROR(SUMPRODUCT(ISNUMBER(P_CKDATE)*ISNUMBER(P_RDATA),P_RDATA)/SUMPRODUCT(ISNUMBER(P_CKDATE)*ISNUMBER(P_RDATA)),"")</f>
        <v/>
      </c>
      <c r="K56" s="315"/>
      <c r="L56" s="319"/>
      <c r="M56" s="319"/>
      <c r="N56" s="319"/>
      <c r="O56" s="320"/>
      <c r="P56" s="317"/>
    </row>
    <row r="57" spans="1:16" s="318" customFormat="1" ht="63.75" x14ac:dyDescent="0.2">
      <c r="A57" s="309" t="s">
        <v>100</v>
      </c>
      <c r="B57" s="309" t="s">
        <v>533</v>
      </c>
      <c r="C57" s="310">
        <v>2</v>
      </c>
      <c r="D57" s="310" t="s">
        <v>283</v>
      </c>
      <c r="E57" s="309" t="s">
        <v>304</v>
      </c>
      <c r="F57" s="309" t="s">
        <v>776</v>
      </c>
      <c r="G57" s="310" t="s">
        <v>920</v>
      </c>
      <c r="H57" s="312"/>
      <c r="I57" s="313"/>
      <c r="J57" s="314" t="str">
        <f>IFERROR(SUMPRODUCT(ISNUMBER(P_CKDATE)*ISNUMBER(P_RDATA),P_RDATA)/SUMPRODUCT(ISNUMBER(P_CKDATE)*ISNUMBER(P_RDATA)),"")</f>
        <v/>
      </c>
      <c r="K57" s="315"/>
      <c r="L57" s="315"/>
      <c r="M57" s="315"/>
      <c r="N57" s="315"/>
      <c r="O57" s="316"/>
      <c r="P57" s="317"/>
    </row>
    <row r="58" spans="1:16" s="318" customFormat="1" ht="38.25" x14ac:dyDescent="0.2">
      <c r="A58" s="309" t="s">
        <v>496</v>
      </c>
      <c r="B58" s="309" t="s">
        <v>533</v>
      </c>
      <c r="C58" s="310">
        <v>2</v>
      </c>
      <c r="D58" s="310" t="s">
        <v>283</v>
      </c>
      <c r="E58" s="309" t="s">
        <v>304</v>
      </c>
      <c r="F58" s="309" t="s">
        <v>777</v>
      </c>
      <c r="G58" s="310" t="s">
        <v>564</v>
      </c>
      <c r="H58" s="312"/>
      <c r="I58" s="313"/>
      <c r="J58" s="314" t="str">
        <f>IFERROR(SUMPRODUCT(ISNUMBER(P_CKDATE)*ISNUMBER(P_RDATA),P_RDATA)/SUMPRODUCT(ISNUMBER(P_CKDATE)*ISNUMBER(P_RDATA)),"")</f>
        <v/>
      </c>
      <c r="K58" s="315"/>
      <c r="L58" s="315"/>
      <c r="M58" s="315"/>
      <c r="N58" s="315"/>
      <c r="O58" s="316"/>
      <c r="P58" s="317"/>
    </row>
    <row r="59" spans="1:16" s="318" customFormat="1" ht="127.5" x14ac:dyDescent="0.2">
      <c r="A59" s="309" t="s">
        <v>101</v>
      </c>
      <c r="B59" s="309" t="s">
        <v>533</v>
      </c>
      <c r="C59" s="310">
        <v>3</v>
      </c>
      <c r="D59" s="310" t="s">
        <v>651</v>
      </c>
      <c r="E59" s="309" t="s">
        <v>292</v>
      </c>
      <c r="F59" s="309" t="s">
        <v>778</v>
      </c>
      <c r="G59" s="310" t="s">
        <v>752</v>
      </c>
      <c r="H59" s="312"/>
      <c r="I59" s="313"/>
      <c r="J59" s="314" t="str">
        <f>IFERROR(SUMPRODUCT(ISNUMBER(P_CKDATE)*ISNUMBER(P_RDATA),P_RDATA)/SUMPRODUCT(ISNUMBER(P_CKDATE)*ISNUMBER(P_RDATA)),"")</f>
        <v/>
      </c>
      <c r="K59" s="315"/>
      <c r="L59" s="315"/>
      <c r="M59" s="315"/>
      <c r="N59" s="315"/>
      <c r="O59" s="316"/>
      <c r="P59" s="317"/>
    </row>
    <row r="60" spans="1:16" s="321" customFormat="1" ht="89.25" x14ac:dyDescent="0.2">
      <c r="A60" s="309" t="s">
        <v>102</v>
      </c>
      <c r="B60" s="309" t="s">
        <v>533</v>
      </c>
      <c r="C60" s="310">
        <v>3</v>
      </c>
      <c r="D60" s="310" t="s">
        <v>651</v>
      </c>
      <c r="E60" s="309" t="s">
        <v>292</v>
      </c>
      <c r="F60" s="309" t="s">
        <v>921</v>
      </c>
      <c r="G60" s="310" t="s">
        <v>779</v>
      </c>
      <c r="H60" s="312"/>
      <c r="I60" s="313"/>
      <c r="J60" s="314" t="str">
        <f>IFERROR(SUMPRODUCT(ISNUMBER(P_CKDATE)*ISNUMBER(P_RDATA),P_RDATA)/SUMPRODUCT(ISNUMBER(P_CKDATE)*ISNUMBER(P_RDATA)),"")</f>
        <v/>
      </c>
      <c r="K60" s="315"/>
      <c r="L60" s="319"/>
      <c r="M60" s="319"/>
      <c r="N60" s="319"/>
      <c r="O60" s="320"/>
      <c r="P60" s="317"/>
    </row>
    <row r="61" spans="1:16" s="318" customFormat="1" ht="89.25" x14ac:dyDescent="0.2">
      <c r="A61" s="309" t="s">
        <v>103</v>
      </c>
      <c r="B61" s="309" t="s">
        <v>533</v>
      </c>
      <c r="C61" s="310">
        <v>3</v>
      </c>
      <c r="D61" s="310" t="s">
        <v>651</v>
      </c>
      <c r="E61" s="309" t="s">
        <v>292</v>
      </c>
      <c r="F61" s="309" t="s">
        <v>780</v>
      </c>
      <c r="G61" s="310" t="s">
        <v>922</v>
      </c>
      <c r="H61" s="312"/>
      <c r="I61" s="313"/>
      <c r="J61" s="314" t="str">
        <f>IFERROR(SUMPRODUCT(ISNUMBER(P_CKDATE)*ISNUMBER(P_RDATA),P_RDATA)/SUMPRODUCT(ISNUMBER(P_CKDATE)*ISNUMBER(P_RDATA)),"")</f>
        <v/>
      </c>
      <c r="K61" s="315"/>
      <c r="L61" s="315"/>
      <c r="M61" s="315"/>
      <c r="N61" s="315"/>
      <c r="O61" s="316"/>
      <c r="P61" s="317"/>
    </row>
    <row r="62" spans="1:16" s="384" customFormat="1" ht="409.5" x14ac:dyDescent="0.2">
      <c r="A62" s="378" t="s">
        <v>104</v>
      </c>
      <c r="B62" s="378" t="s">
        <v>534</v>
      </c>
      <c r="C62" s="378">
        <v>3</v>
      </c>
      <c r="D62" s="378" t="s">
        <v>652</v>
      </c>
      <c r="E62" s="378" t="s">
        <v>303</v>
      </c>
      <c r="F62" s="412" t="s">
        <v>781</v>
      </c>
      <c r="G62" s="378" t="s">
        <v>923</v>
      </c>
      <c r="H62" s="380" t="s">
        <v>1025</v>
      </c>
      <c r="I62" s="381"/>
      <c r="J62" s="352" t="str">
        <f>IFERROR(SUMPRODUCT(ISNUMBER(P_CKDATE)*ISNUMBER(P_RDATA),P_RDATA)/SUMPRODUCT(ISNUMBER(P_CKDATE)*ISNUMBER(P_RDATA)),"")</f>
        <v/>
      </c>
      <c r="K62" s="357"/>
      <c r="L62" s="357"/>
      <c r="M62" s="357"/>
      <c r="N62" s="357"/>
      <c r="O62" s="382"/>
      <c r="P62" s="383"/>
    </row>
    <row r="63" spans="1:16" s="318" customFormat="1" ht="409.5" x14ac:dyDescent="0.2">
      <c r="A63" s="309" t="s">
        <v>105</v>
      </c>
      <c r="B63" s="309" t="s">
        <v>533</v>
      </c>
      <c r="C63" s="310">
        <v>3</v>
      </c>
      <c r="D63" s="310" t="s">
        <v>647</v>
      </c>
      <c r="E63" s="311" t="s">
        <v>303</v>
      </c>
      <c r="F63" s="311" t="s">
        <v>646</v>
      </c>
      <c r="G63" s="310" t="s">
        <v>924</v>
      </c>
      <c r="H63" s="377" t="s">
        <v>1026</v>
      </c>
      <c r="I63" s="313"/>
      <c r="J63" s="314" t="str">
        <f>IFERROR(SUMPRODUCT(ISNUMBER(P_CKDATE)*ISNUMBER(P_RDATA),P_RDATA)/SUMPRODUCT(ISNUMBER(P_CKDATE)*ISNUMBER(P_RDATA)),"")</f>
        <v/>
      </c>
      <c r="K63" s="315"/>
      <c r="L63" s="315"/>
      <c r="M63" s="315"/>
      <c r="N63" s="315"/>
      <c r="O63" s="316"/>
      <c r="P63" s="317"/>
    </row>
    <row r="64" spans="1:16" s="318" customFormat="1" ht="191.25" x14ac:dyDescent="0.2">
      <c r="A64" s="309" t="s">
        <v>106</v>
      </c>
      <c r="B64" s="309" t="s">
        <v>535</v>
      </c>
      <c r="C64" s="310">
        <v>2</v>
      </c>
      <c r="D64" s="310" t="s">
        <v>289</v>
      </c>
      <c r="E64" s="309" t="s">
        <v>303</v>
      </c>
      <c r="F64" s="311" t="s">
        <v>782</v>
      </c>
      <c r="G64" s="310" t="s">
        <v>565</v>
      </c>
      <c r="H64" s="312"/>
      <c r="I64" s="313"/>
      <c r="J64" s="314" t="str">
        <f>IFERROR(SUMPRODUCT(ISNUMBER(P_CKDATE)*ISNUMBER(P_RDATA),P_RDATA)/SUMPRODUCT(ISNUMBER(P_CKDATE)*ISNUMBER(P_RDATA)),"")</f>
        <v/>
      </c>
      <c r="K64" s="315"/>
      <c r="L64" s="315"/>
      <c r="M64" s="315"/>
      <c r="N64" s="315"/>
      <c r="O64" s="316"/>
      <c r="P64" s="317"/>
    </row>
    <row r="65" spans="1:16" s="384" customFormat="1" ht="242.25" x14ac:dyDescent="0.2">
      <c r="A65" s="378" t="s">
        <v>107</v>
      </c>
      <c r="B65" s="378" t="s">
        <v>533</v>
      </c>
      <c r="C65" s="378"/>
      <c r="D65" s="378" t="s">
        <v>970</v>
      </c>
      <c r="E65" s="378" t="s">
        <v>303</v>
      </c>
      <c r="F65" s="378" t="s">
        <v>783</v>
      </c>
      <c r="G65" s="391" t="s">
        <v>753</v>
      </c>
      <c r="H65" s="387" t="s">
        <v>1016</v>
      </c>
      <c r="I65" s="381"/>
      <c r="J65" s="352" t="str">
        <f>IFERROR(SUMPRODUCT(ISNUMBER(P_CKDATE)*ISNUMBER(P_RDATA),P_RDATA)/SUMPRODUCT(ISNUMBER(P_CKDATE)*ISNUMBER(P_RDATA)),"")</f>
        <v/>
      </c>
      <c r="K65" s="357"/>
      <c r="L65" s="357"/>
      <c r="M65" s="357"/>
      <c r="N65" s="357"/>
      <c r="O65" s="382"/>
      <c r="P65" s="383"/>
    </row>
    <row r="66" spans="1:16" s="318" customFormat="1" ht="165.75" x14ac:dyDescent="0.2">
      <c r="A66" s="309" t="s">
        <v>108</v>
      </c>
      <c r="B66" s="309" t="s">
        <v>533</v>
      </c>
      <c r="C66" s="310">
        <v>3</v>
      </c>
      <c r="D66" s="310" t="s">
        <v>286</v>
      </c>
      <c r="E66" s="309" t="s">
        <v>303</v>
      </c>
      <c r="F66" s="309" t="s">
        <v>784</v>
      </c>
      <c r="G66" s="330" t="s">
        <v>754</v>
      </c>
      <c r="H66" s="312"/>
      <c r="I66" s="313"/>
      <c r="J66" s="314" t="str">
        <f>IFERROR(SUMPRODUCT(ISNUMBER(P_CKDATE)*ISNUMBER(P_RDATA),P_RDATA)/SUMPRODUCT(ISNUMBER(P_CKDATE)*ISNUMBER(P_RDATA)),"")</f>
        <v/>
      </c>
      <c r="K66" s="315"/>
      <c r="L66" s="315"/>
      <c r="M66" s="315"/>
      <c r="N66" s="315"/>
      <c r="O66" s="316"/>
      <c r="P66" s="317"/>
    </row>
    <row r="67" spans="1:16" s="384" customFormat="1" ht="127.5" x14ac:dyDescent="0.2">
      <c r="A67" s="378" t="s">
        <v>109</v>
      </c>
      <c r="B67" s="378" t="s">
        <v>535</v>
      </c>
      <c r="C67" s="378">
        <v>3</v>
      </c>
      <c r="D67" s="378" t="s">
        <v>286</v>
      </c>
      <c r="E67" s="378" t="s">
        <v>303</v>
      </c>
      <c r="F67" s="378" t="s">
        <v>785</v>
      </c>
      <c r="G67" s="378" t="s">
        <v>566</v>
      </c>
      <c r="H67" s="388" t="s">
        <v>1027</v>
      </c>
      <c r="I67" s="381"/>
      <c r="J67" s="352" t="str">
        <f>IFERROR(SUMPRODUCT(ISNUMBER(P_CKDATE)*ISNUMBER(P_RDATA),P_RDATA)/SUMPRODUCT(ISNUMBER(P_CKDATE)*ISNUMBER(P_RDATA)),"")</f>
        <v/>
      </c>
      <c r="K67" s="357"/>
      <c r="L67" s="357"/>
      <c r="M67" s="357"/>
      <c r="N67" s="357"/>
      <c r="O67" s="382"/>
      <c r="P67" s="383"/>
    </row>
    <row r="68" spans="1:16" s="318" customFormat="1" ht="127.5" x14ac:dyDescent="0.2">
      <c r="A68" s="309" t="s">
        <v>110</v>
      </c>
      <c r="B68" s="309" t="s">
        <v>533</v>
      </c>
      <c r="C68" s="310">
        <v>2</v>
      </c>
      <c r="D68" s="310" t="s">
        <v>380</v>
      </c>
      <c r="E68" s="309" t="s">
        <v>297</v>
      </c>
      <c r="F68" s="309" t="s">
        <v>786</v>
      </c>
      <c r="G68" s="310" t="s">
        <v>755</v>
      </c>
      <c r="H68" s="312"/>
      <c r="I68" s="313"/>
      <c r="J68" s="314" t="str">
        <f>IFERROR(SUMPRODUCT(ISNUMBER(P_CKDATE)*ISNUMBER(P_RDATA),P_RDATA)/SUMPRODUCT(ISNUMBER(P_CKDATE)*ISNUMBER(P_RDATA)),"")</f>
        <v/>
      </c>
      <c r="K68" s="315"/>
      <c r="L68" s="315"/>
      <c r="M68" s="315"/>
      <c r="N68" s="315"/>
      <c r="O68" s="316"/>
      <c r="P68" s="317"/>
    </row>
    <row r="69" spans="1:16" s="318" customFormat="1" ht="89.25" x14ac:dyDescent="0.2">
      <c r="A69" s="309" t="s">
        <v>111</v>
      </c>
      <c r="B69" s="309" t="s">
        <v>533</v>
      </c>
      <c r="C69" s="310">
        <v>3</v>
      </c>
      <c r="D69" s="310" t="s">
        <v>647</v>
      </c>
      <c r="E69" s="309" t="s">
        <v>305</v>
      </c>
      <c r="F69" s="309" t="s">
        <v>62</v>
      </c>
      <c r="G69" s="310" t="s">
        <v>40</v>
      </c>
      <c r="H69" s="312"/>
      <c r="I69" s="313"/>
      <c r="J69" s="314" t="str">
        <f>IFERROR(SUMPRODUCT(ISNUMBER(P_CKDATE)*ISNUMBER(P_RDATA),P_RDATA)/SUMPRODUCT(ISNUMBER(P_CKDATE)*ISNUMBER(P_RDATA)),"")</f>
        <v/>
      </c>
      <c r="K69" s="315"/>
      <c r="L69" s="315"/>
      <c r="M69" s="315"/>
      <c r="N69" s="315"/>
      <c r="O69" s="316"/>
      <c r="P69" s="317"/>
    </row>
    <row r="70" spans="1:16" s="318" customFormat="1" ht="127.5" x14ac:dyDescent="0.2">
      <c r="A70" s="309" t="s">
        <v>463</v>
      </c>
      <c r="B70" s="309" t="s">
        <v>533</v>
      </c>
      <c r="C70" s="310">
        <v>3</v>
      </c>
      <c r="D70" s="310" t="s">
        <v>647</v>
      </c>
      <c r="E70" s="309" t="s">
        <v>305</v>
      </c>
      <c r="F70" s="309" t="s">
        <v>787</v>
      </c>
      <c r="G70" s="310" t="s">
        <v>756</v>
      </c>
      <c r="H70" s="312"/>
      <c r="I70" s="313"/>
      <c r="J70" s="314" t="str">
        <f>IFERROR(SUMPRODUCT(ISNUMBER(P_CKDATE)*ISNUMBER(P_RDATA),P_RDATA)/SUMPRODUCT(ISNUMBER(P_CKDATE)*ISNUMBER(P_RDATA)),"")</f>
        <v/>
      </c>
      <c r="K70" s="315"/>
      <c r="L70" s="315"/>
      <c r="M70" s="315"/>
      <c r="N70" s="315"/>
      <c r="O70" s="316"/>
      <c r="P70" s="317"/>
    </row>
    <row r="71" spans="1:16" s="318" customFormat="1" ht="51" x14ac:dyDescent="0.2">
      <c r="A71" s="309" t="s">
        <v>112</v>
      </c>
      <c r="B71" s="309" t="s">
        <v>533</v>
      </c>
      <c r="C71" s="310">
        <v>3</v>
      </c>
      <c r="D71" s="310" t="s">
        <v>647</v>
      </c>
      <c r="E71" s="309" t="s">
        <v>305</v>
      </c>
      <c r="F71" s="309" t="s">
        <v>788</v>
      </c>
      <c r="G71" s="310" t="s">
        <v>789</v>
      </c>
      <c r="H71" s="312"/>
      <c r="I71" s="313"/>
      <c r="J71" s="314" t="str">
        <f>IFERROR(SUMPRODUCT(ISNUMBER(P_CKDATE)*ISNUMBER(P_RDATA),P_RDATA)/SUMPRODUCT(ISNUMBER(P_CKDATE)*ISNUMBER(P_RDATA)),"")</f>
        <v/>
      </c>
      <c r="K71" s="315"/>
      <c r="L71" s="315"/>
      <c r="M71" s="315"/>
      <c r="N71" s="315"/>
      <c r="O71" s="316"/>
      <c r="P71" s="317"/>
    </row>
    <row r="72" spans="1:16" s="318" customFormat="1" ht="89.25" x14ac:dyDescent="0.2">
      <c r="A72" s="309" t="s">
        <v>113</v>
      </c>
      <c r="B72" s="309" t="s">
        <v>533</v>
      </c>
      <c r="C72" s="310">
        <v>2</v>
      </c>
      <c r="D72" s="310" t="s">
        <v>283</v>
      </c>
      <c r="E72" s="309" t="s">
        <v>297</v>
      </c>
      <c r="F72" s="309" t="s">
        <v>790</v>
      </c>
      <c r="G72" s="310" t="s">
        <v>791</v>
      </c>
      <c r="H72" s="312"/>
      <c r="I72" s="313"/>
      <c r="J72" s="314" t="str">
        <f>IFERROR(SUMPRODUCT(ISNUMBER(P_CKDATE)*ISNUMBER(P_RDATA),P_RDATA)/SUMPRODUCT(ISNUMBER(P_CKDATE)*ISNUMBER(P_RDATA)),"")</f>
        <v/>
      </c>
      <c r="K72" s="315"/>
      <c r="L72" s="315"/>
      <c r="M72" s="315"/>
      <c r="N72" s="315"/>
      <c r="O72" s="316"/>
      <c r="P72" s="317"/>
    </row>
    <row r="73" spans="1:16" s="318" customFormat="1" ht="102" x14ac:dyDescent="0.2">
      <c r="A73" s="309" t="s">
        <v>114</v>
      </c>
      <c r="B73" s="309" t="s">
        <v>533</v>
      </c>
      <c r="C73" s="310">
        <v>2</v>
      </c>
      <c r="D73" s="310" t="s">
        <v>283</v>
      </c>
      <c r="E73" s="331" t="s">
        <v>297</v>
      </c>
      <c r="F73" s="309" t="s">
        <v>344</v>
      </c>
      <c r="G73" s="332" t="s">
        <v>925</v>
      </c>
      <c r="H73" s="312"/>
      <c r="I73" s="313"/>
      <c r="J73" s="314" t="str">
        <f>IFERROR(SUMPRODUCT(ISNUMBER(P_CKDATE)*ISNUMBER(P_RDATA),P_RDATA)/SUMPRODUCT(ISNUMBER(P_CKDATE)*ISNUMBER(P_RDATA)),"")</f>
        <v/>
      </c>
      <c r="K73" s="315"/>
      <c r="L73" s="315"/>
      <c r="M73" s="315"/>
      <c r="N73" s="315"/>
      <c r="O73" s="316"/>
      <c r="P73" s="317"/>
    </row>
    <row r="74" spans="1:16" s="318" customFormat="1" ht="76.5" x14ac:dyDescent="0.2">
      <c r="A74" s="309" t="s">
        <v>115</v>
      </c>
      <c r="B74" s="309" t="s">
        <v>533</v>
      </c>
      <c r="C74" s="310">
        <v>2</v>
      </c>
      <c r="D74" s="310" t="s">
        <v>285</v>
      </c>
      <c r="E74" s="331" t="s">
        <v>290</v>
      </c>
      <c r="F74" s="333" t="s">
        <v>711</v>
      </c>
      <c r="G74" s="332" t="s">
        <v>567</v>
      </c>
      <c r="H74" s="312"/>
      <c r="I74" s="313"/>
      <c r="J74" s="315"/>
      <c r="K74" s="315"/>
      <c r="L74" s="315"/>
      <c r="M74" s="315"/>
      <c r="N74" s="315"/>
      <c r="O74" s="316"/>
      <c r="P74" s="317"/>
    </row>
    <row r="75" spans="1:16" s="318" customFormat="1" x14ac:dyDescent="0.2">
      <c r="A75" s="309" t="s">
        <v>116</v>
      </c>
      <c r="B75" s="309" t="s">
        <v>533</v>
      </c>
      <c r="C75" s="310">
        <v>2</v>
      </c>
      <c r="D75" s="310" t="s">
        <v>285</v>
      </c>
      <c r="E75" s="309" t="s">
        <v>290</v>
      </c>
      <c r="F75" s="130" t="s">
        <v>513</v>
      </c>
      <c r="G75" s="310"/>
      <c r="H75" s="312"/>
      <c r="I75" s="313"/>
      <c r="J75" s="314" t="str">
        <f>IFERROR(SUMPRODUCT(ISNUMBER(P_CKDATE)*ISNUMBER(P_RDATA),P_RDATA)/SUMPRODUCT(ISNUMBER(P_CKDATE)*ISNUMBER(P_RDATA)),"")</f>
        <v/>
      </c>
      <c r="K75" s="315"/>
      <c r="L75" s="315"/>
      <c r="M75" s="315"/>
      <c r="N75" s="315"/>
      <c r="O75" s="316"/>
      <c r="P75" s="317"/>
    </row>
    <row r="76" spans="1:16" s="318" customFormat="1" x14ac:dyDescent="0.2">
      <c r="A76" s="309" t="s">
        <v>117</v>
      </c>
      <c r="B76" s="309" t="s">
        <v>533</v>
      </c>
      <c r="C76" s="310">
        <v>2</v>
      </c>
      <c r="D76" s="310" t="s">
        <v>285</v>
      </c>
      <c r="E76" s="309" t="s">
        <v>290</v>
      </c>
      <c r="F76" s="130" t="s">
        <v>308</v>
      </c>
      <c r="G76" s="310" t="s">
        <v>314</v>
      </c>
      <c r="H76" s="312"/>
      <c r="I76" s="313"/>
      <c r="J76" s="314" t="str">
        <f>IFERROR(SUMPRODUCT(ISNUMBER(P_CKDATE)*ISNUMBER(P_RDATA),P_RDATA)/SUMPRODUCT(ISNUMBER(P_CKDATE)*ISNUMBER(P_RDATA)),"")</f>
        <v/>
      </c>
      <c r="K76" s="315"/>
      <c r="L76" s="315"/>
      <c r="M76" s="315"/>
      <c r="N76" s="315"/>
      <c r="O76" s="316"/>
      <c r="P76" s="317"/>
    </row>
    <row r="77" spans="1:16" s="318" customFormat="1" x14ac:dyDescent="0.2">
      <c r="A77" s="309" t="s">
        <v>118</v>
      </c>
      <c r="B77" s="309" t="s">
        <v>534</v>
      </c>
      <c r="C77" s="310">
        <v>2</v>
      </c>
      <c r="D77" s="310" t="s">
        <v>285</v>
      </c>
      <c r="E77" s="309" t="s">
        <v>290</v>
      </c>
      <c r="F77" s="130" t="s">
        <v>309</v>
      </c>
      <c r="G77" s="310" t="s">
        <v>464</v>
      </c>
      <c r="H77" s="312"/>
      <c r="I77" s="313"/>
      <c r="J77" s="314" t="str">
        <f>IFERROR(SUMPRODUCT(ISNUMBER(P_CKDATE)*ISNUMBER(P_RDATA),P_RDATA)/SUMPRODUCT(ISNUMBER(P_CKDATE)*ISNUMBER(P_RDATA)),"")</f>
        <v/>
      </c>
      <c r="K77" s="315"/>
      <c r="L77" s="315"/>
      <c r="M77" s="315"/>
      <c r="N77" s="315"/>
      <c r="O77" s="316"/>
      <c r="P77" s="317"/>
    </row>
    <row r="78" spans="1:16" s="318" customFormat="1" x14ac:dyDescent="0.2">
      <c r="A78" s="309" t="s">
        <v>119</v>
      </c>
      <c r="B78" s="309" t="s">
        <v>534</v>
      </c>
      <c r="C78" s="310">
        <v>2</v>
      </c>
      <c r="D78" s="310" t="s">
        <v>285</v>
      </c>
      <c r="E78" s="309" t="s">
        <v>290</v>
      </c>
      <c r="F78" s="130" t="s">
        <v>310</v>
      </c>
      <c r="G78" s="310" t="s">
        <v>465</v>
      </c>
      <c r="H78" s="312"/>
      <c r="I78" s="313"/>
      <c r="J78" s="314" t="str">
        <f>IFERROR(SUMPRODUCT(ISNUMBER(P_CKDATE)*ISNUMBER(P_RDATA),P_RDATA)/SUMPRODUCT(ISNUMBER(P_CKDATE)*ISNUMBER(P_RDATA)),"")</f>
        <v/>
      </c>
      <c r="K78" s="315"/>
      <c r="L78" s="315"/>
      <c r="M78" s="315"/>
      <c r="N78" s="315"/>
      <c r="O78" s="316"/>
      <c r="P78" s="317"/>
    </row>
    <row r="79" spans="1:16" s="318" customFormat="1" ht="25.5" x14ac:dyDescent="0.2">
      <c r="A79" s="309" t="s">
        <v>120</v>
      </c>
      <c r="B79" s="309" t="s">
        <v>534</v>
      </c>
      <c r="C79" s="310">
        <v>2</v>
      </c>
      <c r="D79" s="310" t="s">
        <v>285</v>
      </c>
      <c r="E79" s="309" t="s">
        <v>290</v>
      </c>
      <c r="F79" s="130" t="s">
        <v>311</v>
      </c>
      <c r="G79" s="310" t="s">
        <v>657</v>
      </c>
      <c r="H79" s="312"/>
      <c r="I79" s="313"/>
      <c r="J79" s="314" t="str">
        <f>IFERROR(SUMPRODUCT(ISNUMBER(P_CKDATE)*ISNUMBER(P_RDATA),P_RDATA)/SUMPRODUCT(ISNUMBER(P_CKDATE)*ISNUMBER(P_RDATA)),"")</f>
        <v/>
      </c>
      <c r="K79" s="315"/>
      <c r="L79" s="315"/>
      <c r="M79" s="315"/>
      <c r="N79" s="315"/>
      <c r="O79" s="316"/>
      <c r="P79" s="317"/>
    </row>
    <row r="80" spans="1:16" s="384" customFormat="1" ht="38.25" x14ac:dyDescent="0.2">
      <c r="A80" s="378" t="s">
        <v>121</v>
      </c>
      <c r="B80" s="378" t="s">
        <v>535</v>
      </c>
      <c r="C80" s="378">
        <v>2</v>
      </c>
      <c r="D80" s="378" t="s">
        <v>285</v>
      </c>
      <c r="E80" s="378" t="s">
        <v>290</v>
      </c>
      <c r="F80" s="389" t="s">
        <v>466</v>
      </c>
      <c r="G80" s="378" t="s">
        <v>792</v>
      </c>
      <c r="H80" s="380" t="s">
        <v>1029</v>
      </c>
      <c r="I80" s="381"/>
      <c r="J80" s="352" t="str">
        <f>IFERROR(SUMPRODUCT(ISNUMBER(P_CKDATE)*ISNUMBER(P_RDATA),P_RDATA)/SUMPRODUCT(ISNUMBER(P_CKDATE)*ISNUMBER(P_RDATA)),"")</f>
        <v/>
      </c>
      <c r="K80" s="357"/>
      <c r="L80" s="357"/>
      <c r="M80" s="357"/>
      <c r="N80" s="357"/>
      <c r="O80" s="382"/>
      <c r="P80" s="383"/>
    </row>
    <row r="81" spans="1:16" s="384" customFormat="1" x14ac:dyDescent="0.2">
      <c r="A81" s="378" t="s">
        <v>899</v>
      </c>
      <c r="B81" s="378" t="s">
        <v>535</v>
      </c>
      <c r="C81" s="378">
        <v>2</v>
      </c>
      <c r="D81" s="378" t="s">
        <v>285</v>
      </c>
      <c r="E81" s="378" t="s">
        <v>290</v>
      </c>
      <c r="F81" s="389" t="s">
        <v>721</v>
      </c>
      <c r="G81" s="378"/>
      <c r="H81" s="388"/>
      <c r="I81" s="381"/>
      <c r="J81" s="352" t="str">
        <f>IFERROR(SUMPRODUCT(ISNUMBER(P_CKDATE)*ISNUMBER(P_RDATA),P_RDATA)/SUMPRODUCT(ISNUMBER(P_CKDATE)*ISNUMBER(P_RDATA)),"")</f>
        <v/>
      </c>
      <c r="K81" s="357"/>
      <c r="L81" s="357"/>
      <c r="M81" s="357"/>
      <c r="N81" s="357"/>
      <c r="O81" s="382"/>
      <c r="P81" s="383"/>
    </row>
    <row r="82" spans="1:16" s="384" customFormat="1" ht="25.5" x14ac:dyDescent="0.2">
      <c r="A82" s="378" t="s">
        <v>122</v>
      </c>
      <c r="B82" s="378" t="s">
        <v>535</v>
      </c>
      <c r="C82" s="378">
        <v>2</v>
      </c>
      <c r="D82" s="378" t="s">
        <v>285</v>
      </c>
      <c r="E82" s="378" t="s">
        <v>290</v>
      </c>
      <c r="F82" s="389" t="s">
        <v>312</v>
      </c>
      <c r="G82" s="378"/>
      <c r="H82" s="387" t="s">
        <v>1030</v>
      </c>
      <c r="I82" s="381"/>
      <c r="J82" s="352" t="str">
        <f>IFERROR(SUMPRODUCT(ISNUMBER(P_CKDATE)*ISNUMBER(P_RDATA),P_RDATA)/SUMPRODUCT(ISNUMBER(P_CKDATE)*ISNUMBER(P_RDATA)),"")</f>
        <v/>
      </c>
      <c r="K82" s="357"/>
      <c r="L82" s="357"/>
      <c r="M82" s="357"/>
      <c r="N82" s="357"/>
      <c r="O82" s="382"/>
      <c r="P82" s="383"/>
    </row>
    <row r="83" spans="1:16" s="321" customFormat="1" ht="102" x14ac:dyDescent="0.2">
      <c r="A83" s="309" t="s">
        <v>969</v>
      </c>
      <c r="B83" s="309" t="s">
        <v>533</v>
      </c>
      <c r="C83" s="310">
        <v>3</v>
      </c>
      <c r="D83" s="310" t="s">
        <v>647</v>
      </c>
      <c r="E83" s="309" t="s">
        <v>290</v>
      </c>
      <c r="F83" s="130" t="s">
        <v>926</v>
      </c>
      <c r="G83" s="29" t="s">
        <v>793</v>
      </c>
      <c r="H83" s="312"/>
      <c r="I83" s="313"/>
      <c r="J83" s="314" t="str">
        <f>IFERROR(SUMPRODUCT(ISNUMBER(P_CKDATE)*ISNUMBER(P_RDATA),P_RDATA)/SUMPRODUCT(ISNUMBER(P_CKDATE)*ISNUMBER(P_RDATA)),"")</f>
        <v/>
      </c>
      <c r="K83" s="315"/>
      <c r="L83" s="319"/>
      <c r="M83" s="319"/>
      <c r="N83" s="319"/>
      <c r="O83" s="320"/>
      <c r="P83" s="317"/>
    </row>
    <row r="84" spans="1:16" s="321" customFormat="1" ht="76.5" x14ac:dyDescent="0.2">
      <c r="A84" s="309" t="s">
        <v>438</v>
      </c>
      <c r="B84" s="309" t="s">
        <v>533</v>
      </c>
      <c r="C84" s="310">
        <v>3</v>
      </c>
      <c r="D84" s="310" t="s">
        <v>647</v>
      </c>
      <c r="E84" s="309" t="s">
        <v>290</v>
      </c>
      <c r="F84" s="129" t="s">
        <v>745</v>
      </c>
      <c r="G84" s="310" t="s">
        <v>927</v>
      </c>
      <c r="H84" s="312"/>
      <c r="I84" s="313"/>
      <c r="J84" s="315"/>
      <c r="K84" s="315"/>
      <c r="L84" s="315"/>
      <c r="M84" s="315"/>
      <c r="N84" s="315"/>
      <c r="O84" s="316"/>
      <c r="P84" s="317"/>
    </row>
    <row r="85" spans="1:16" s="321" customFormat="1" x14ac:dyDescent="0.2">
      <c r="A85" s="309" t="s">
        <v>497</v>
      </c>
      <c r="B85" s="309" t="s">
        <v>533</v>
      </c>
      <c r="C85" s="310">
        <v>3</v>
      </c>
      <c r="D85" s="310" t="s">
        <v>647</v>
      </c>
      <c r="E85" s="309" t="s">
        <v>290</v>
      </c>
      <c r="F85" s="129" t="s">
        <v>794</v>
      </c>
      <c r="G85" s="310"/>
      <c r="H85" s="312"/>
      <c r="I85" s="313"/>
      <c r="J85" s="314" t="str">
        <f>IFERROR(SUMPRODUCT(ISNUMBER(P_CKDATE)*ISNUMBER(P_RDATA),P_RDATA)/SUMPRODUCT(ISNUMBER(P_CKDATE)*ISNUMBER(P_RDATA)),"")</f>
        <v/>
      </c>
      <c r="K85" s="315"/>
      <c r="L85" s="319"/>
      <c r="M85" s="319"/>
      <c r="N85" s="319"/>
      <c r="O85" s="320"/>
      <c r="P85" s="317"/>
    </row>
    <row r="86" spans="1:16" s="321" customFormat="1" x14ac:dyDescent="0.2">
      <c r="A86" s="309" t="s">
        <v>498</v>
      </c>
      <c r="B86" s="309" t="s">
        <v>533</v>
      </c>
      <c r="C86" s="310">
        <v>3</v>
      </c>
      <c r="D86" s="310" t="s">
        <v>647</v>
      </c>
      <c r="E86" s="309" t="s">
        <v>290</v>
      </c>
      <c r="F86" s="334" t="s">
        <v>928</v>
      </c>
      <c r="G86" s="310"/>
      <c r="H86" s="312"/>
      <c r="I86" s="313"/>
      <c r="J86" s="314" t="str">
        <f>IFERROR(SUMPRODUCT(ISNUMBER(P_CKDATE)*ISNUMBER(P_RDATA),P_RDATA)/SUMPRODUCT(ISNUMBER(P_CKDATE)*ISNUMBER(P_RDATA)),"")</f>
        <v/>
      </c>
      <c r="K86" s="315"/>
      <c r="L86" s="319"/>
      <c r="M86" s="319"/>
      <c r="N86" s="319"/>
      <c r="O86" s="320"/>
      <c r="P86" s="317"/>
    </row>
    <row r="87" spans="1:16" s="321" customFormat="1" x14ac:dyDescent="0.2">
      <c r="A87" s="309" t="s">
        <v>499</v>
      </c>
      <c r="B87" s="309" t="s">
        <v>534</v>
      </c>
      <c r="C87" s="310">
        <v>3</v>
      </c>
      <c r="D87" s="310" t="s">
        <v>647</v>
      </c>
      <c r="E87" s="309" t="s">
        <v>290</v>
      </c>
      <c r="F87" s="129" t="s">
        <v>795</v>
      </c>
      <c r="G87" s="310"/>
      <c r="H87" s="312"/>
      <c r="I87" s="313"/>
      <c r="J87" s="314" t="str">
        <f>IFERROR(SUMPRODUCT(ISNUMBER(P_CKDATE)*ISNUMBER(P_RDATA),P_RDATA)/SUMPRODUCT(ISNUMBER(P_CKDATE)*ISNUMBER(P_RDATA)),"")</f>
        <v/>
      </c>
      <c r="K87" s="315"/>
      <c r="L87" s="319"/>
      <c r="M87" s="319"/>
      <c r="N87" s="319"/>
      <c r="O87" s="320"/>
      <c r="P87" s="317"/>
    </row>
    <row r="88" spans="1:16" s="321" customFormat="1" ht="38.25" x14ac:dyDescent="0.2">
      <c r="A88" s="309" t="s">
        <v>500</v>
      </c>
      <c r="B88" s="309" t="s">
        <v>533</v>
      </c>
      <c r="C88" s="310">
        <v>3</v>
      </c>
      <c r="D88" s="310" t="s">
        <v>647</v>
      </c>
      <c r="E88" s="309" t="s">
        <v>290</v>
      </c>
      <c r="F88" s="129" t="s">
        <v>514</v>
      </c>
      <c r="G88" s="310" t="s">
        <v>929</v>
      </c>
      <c r="H88" s="312"/>
      <c r="I88" s="313"/>
      <c r="J88" s="314" t="str">
        <f>IFERROR(SUMPRODUCT(ISNUMBER(P_CKDATE)*ISNUMBER(P_RDATA),P_RDATA)/SUMPRODUCT(ISNUMBER(P_CKDATE)*ISNUMBER(P_RDATA)),"")</f>
        <v/>
      </c>
      <c r="K88" s="315"/>
      <c r="L88" s="319"/>
      <c r="M88" s="319"/>
      <c r="N88" s="319"/>
      <c r="O88" s="320"/>
      <c r="P88" s="317"/>
    </row>
    <row r="89" spans="1:16" s="318" customFormat="1" ht="140.25" x14ac:dyDescent="0.2">
      <c r="A89" s="309" t="s">
        <v>502</v>
      </c>
      <c r="B89" s="309" t="s">
        <v>533</v>
      </c>
      <c r="C89" s="310">
        <v>3</v>
      </c>
      <c r="D89" s="310" t="s">
        <v>647</v>
      </c>
      <c r="E89" s="309" t="s">
        <v>290</v>
      </c>
      <c r="F89" s="129" t="s">
        <v>541</v>
      </c>
      <c r="G89" s="310" t="s">
        <v>930</v>
      </c>
      <c r="H89" s="312"/>
      <c r="I89" s="313"/>
      <c r="J89" s="314" t="str">
        <f>IFERROR(SUMPRODUCT(ISNUMBER(P_CKDATE)*ISNUMBER(P_RDATA),P_RDATA)/SUMPRODUCT(ISNUMBER(P_CKDATE)*ISNUMBER(P_RDATA)),"")</f>
        <v/>
      </c>
      <c r="K89" s="315"/>
      <c r="L89" s="315"/>
      <c r="M89" s="315"/>
      <c r="N89" s="315"/>
      <c r="O89" s="316"/>
      <c r="P89" s="317"/>
    </row>
    <row r="90" spans="1:16" s="318" customFormat="1" ht="25.5" x14ac:dyDescent="0.2">
      <c r="A90" s="309" t="s">
        <v>503</v>
      </c>
      <c r="B90" s="309" t="s">
        <v>533</v>
      </c>
      <c r="C90" s="310">
        <v>3</v>
      </c>
      <c r="D90" s="310" t="s">
        <v>647</v>
      </c>
      <c r="E90" s="309" t="s">
        <v>290</v>
      </c>
      <c r="F90" s="129" t="s">
        <v>746</v>
      </c>
      <c r="G90" s="310" t="s">
        <v>796</v>
      </c>
      <c r="H90" s="312"/>
      <c r="I90" s="313"/>
      <c r="J90" s="314" t="str">
        <f>IFERROR(SUMPRODUCT(ISNUMBER(P_CKDATE)*ISNUMBER(P_RDATA),P_RDATA)/SUMPRODUCT(ISNUMBER(P_CKDATE)*ISNUMBER(P_RDATA)),"")</f>
        <v/>
      </c>
      <c r="K90" s="315"/>
      <c r="L90" s="315"/>
      <c r="M90" s="315"/>
      <c r="N90" s="315"/>
      <c r="O90" s="316"/>
      <c r="P90" s="317"/>
    </row>
    <row r="91" spans="1:16" s="318" customFormat="1" ht="89.25" x14ac:dyDescent="0.2">
      <c r="A91" s="309" t="s">
        <v>504</v>
      </c>
      <c r="B91" s="309" t="s">
        <v>533</v>
      </c>
      <c r="C91" s="310">
        <v>3</v>
      </c>
      <c r="D91" s="310" t="s">
        <v>647</v>
      </c>
      <c r="E91" s="309" t="s">
        <v>290</v>
      </c>
      <c r="F91" s="129" t="s">
        <v>797</v>
      </c>
      <c r="G91" s="330" t="s">
        <v>747</v>
      </c>
      <c r="H91" s="376" t="s">
        <v>1028</v>
      </c>
      <c r="I91" s="313"/>
      <c r="J91" s="314" t="str">
        <f>IFERROR(SUMPRODUCT(ISNUMBER(P_CKDATE)*ISNUMBER(P_RDATA),P_RDATA)/SUMPRODUCT(ISNUMBER(P_CKDATE)*ISNUMBER(P_RDATA)),"")</f>
        <v/>
      </c>
      <c r="K91" s="315"/>
      <c r="L91" s="315"/>
      <c r="M91" s="315"/>
      <c r="N91" s="315"/>
      <c r="O91" s="316"/>
      <c r="P91" s="317"/>
    </row>
    <row r="92" spans="1:16" s="327" customFormat="1" ht="38.25" x14ac:dyDescent="0.2">
      <c r="A92" s="310" t="s">
        <v>501</v>
      </c>
      <c r="B92" s="310" t="s">
        <v>533</v>
      </c>
      <c r="C92" s="310">
        <v>3</v>
      </c>
      <c r="D92" s="310" t="s">
        <v>647</v>
      </c>
      <c r="E92" s="310" t="s">
        <v>290</v>
      </c>
      <c r="F92" s="131" t="s">
        <v>748</v>
      </c>
      <c r="G92" s="310" t="s">
        <v>712</v>
      </c>
      <c r="H92" s="312"/>
      <c r="I92" s="313"/>
      <c r="J92" s="314" t="str">
        <f>IFERROR(SUMPRODUCT(ISNUMBER(P_CKDATE)*ISNUMBER(P_RDATA),P_RDATA)/SUMPRODUCT(ISNUMBER(P_CKDATE)*ISNUMBER(P_RDATA)),"")</f>
        <v/>
      </c>
      <c r="K92" s="325"/>
      <c r="L92" s="325"/>
      <c r="M92" s="325"/>
      <c r="N92" s="325"/>
      <c r="O92" s="326"/>
      <c r="P92" s="317"/>
    </row>
    <row r="93" spans="1:16" s="318" customFormat="1" ht="25.5" x14ac:dyDescent="0.2">
      <c r="A93" s="309" t="s">
        <v>123</v>
      </c>
      <c r="B93" s="309" t="s">
        <v>533</v>
      </c>
      <c r="C93" s="310">
        <v>2</v>
      </c>
      <c r="D93" s="310" t="s">
        <v>285</v>
      </c>
      <c r="E93" s="309" t="s">
        <v>290</v>
      </c>
      <c r="F93" s="311" t="s">
        <v>467</v>
      </c>
      <c r="G93" s="310"/>
      <c r="H93" s="312"/>
      <c r="I93" s="313"/>
      <c r="J93" s="314" t="str">
        <f>IFERROR(SUMPRODUCT(ISNUMBER(P_CKDATE)*ISNUMBER(P_RDATA),P_RDATA)/SUMPRODUCT(ISNUMBER(P_CKDATE)*ISNUMBER(P_RDATA)),"")</f>
        <v/>
      </c>
      <c r="K93" s="315"/>
      <c r="L93" s="315"/>
      <c r="M93" s="315"/>
      <c r="N93" s="315"/>
      <c r="O93" s="316"/>
      <c r="P93" s="317"/>
    </row>
    <row r="94" spans="1:16" s="321" customFormat="1" ht="25.5" x14ac:dyDescent="0.2">
      <c r="A94" s="309" t="s">
        <v>124</v>
      </c>
      <c r="B94" s="309" t="s">
        <v>533</v>
      </c>
      <c r="C94" s="310">
        <v>2</v>
      </c>
      <c r="D94" s="310" t="s">
        <v>285</v>
      </c>
      <c r="E94" s="309" t="s">
        <v>290</v>
      </c>
      <c r="F94" s="311" t="s">
        <v>437</v>
      </c>
      <c r="G94" s="310"/>
      <c r="H94" s="312"/>
      <c r="I94" s="313"/>
      <c r="J94" s="314" t="str">
        <f>IFERROR(SUMPRODUCT(ISNUMBER(P_CKDATE)*ISNUMBER(P_RDATA),P_RDATA)/SUMPRODUCT(ISNUMBER(P_CKDATE)*ISNUMBER(P_RDATA)),"")</f>
        <v/>
      </c>
      <c r="K94" s="315"/>
      <c r="L94" s="319"/>
      <c r="M94" s="319"/>
      <c r="N94" s="319"/>
      <c r="O94" s="320"/>
      <c r="P94" s="317"/>
    </row>
    <row r="95" spans="1:16" s="321" customFormat="1" ht="38.25" x14ac:dyDescent="0.2">
      <c r="A95" s="309" t="s">
        <v>125</v>
      </c>
      <c r="B95" s="309" t="s">
        <v>533</v>
      </c>
      <c r="C95" s="310">
        <v>2</v>
      </c>
      <c r="D95" s="310" t="s">
        <v>285</v>
      </c>
      <c r="E95" s="309" t="s">
        <v>290</v>
      </c>
      <c r="F95" s="311" t="s">
        <v>798</v>
      </c>
      <c r="G95" s="310" t="s">
        <v>799</v>
      </c>
      <c r="H95" s="312"/>
      <c r="I95" s="313"/>
      <c r="J95" s="314" t="str">
        <f>IFERROR(SUMPRODUCT(ISNUMBER(P_CKDATE)*ISNUMBER(P_RDATA),P_RDATA)/SUMPRODUCT(ISNUMBER(P_CKDATE)*ISNUMBER(P_RDATA)),"")</f>
        <v/>
      </c>
      <c r="K95" s="315"/>
      <c r="L95" s="319"/>
      <c r="M95" s="319"/>
      <c r="N95" s="319"/>
      <c r="O95" s="320"/>
      <c r="P95" s="317"/>
    </row>
    <row r="96" spans="1:16" s="321" customFormat="1" ht="409.5" x14ac:dyDescent="0.2">
      <c r="A96" s="309" t="s">
        <v>253</v>
      </c>
      <c r="B96" s="309" t="s">
        <v>534</v>
      </c>
      <c r="C96" s="310">
        <v>2</v>
      </c>
      <c r="D96" s="310" t="s">
        <v>285</v>
      </c>
      <c r="E96" s="309" t="s">
        <v>290</v>
      </c>
      <c r="F96" s="311" t="s">
        <v>313</v>
      </c>
      <c r="G96" s="310" t="s">
        <v>757</v>
      </c>
      <c r="H96" s="312"/>
      <c r="I96" s="313"/>
      <c r="J96" s="314" t="str">
        <f>IFERROR(SUMPRODUCT(ISNUMBER(P_CKDATE)*ISNUMBER(P_RDATA),P_RDATA)/SUMPRODUCT(ISNUMBER(P_CKDATE)*ISNUMBER(P_RDATA)),"")</f>
        <v/>
      </c>
      <c r="K96" s="315"/>
      <c r="L96" s="319"/>
      <c r="M96" s="319"/>
      <c r="N96" s="319"/>
      <c r="O96" s="320"/>
      <c r="P96" s="317"/>
    </row>
    <row r="97" spans="1:16" s="321" customFormat="1" ht="38.25" x14ac:dyDescent="0.2">
      <c r="A97" s="309" t="s">
        <v>263</v>
      </c>
      <c r="B97" s="309" t="s">
        <v>533</v>
      </c>
      <c r="C97" s="310">
        <v>2</v>
      </c>
      <c r="D97" s="310" t="s">
        <v>285</v>
      </c>
      <c r="E97" s="309" t="s">
        <v>290</v>
      </c>
      <c r="F97" s="311" t="s">
        <v>800</v>
      </c>
      <c r="G97" s="310" t="s">
        <v>749</v>
      </c>
      <c r="H97" s="312"/>
      <c r="I97" s="313"/>
      <c r="J97" s="314" t="str">
        <f>IFERROR(SUMPRODUCT(ISNUMBER(P_CKDATE)*ISNUMBER(P_RDATA),P_RDATA)/SUMPRODUCT(ISNUMBER(P_CKDATE)*ISNUMBER(P_RDATA)),"")</f>
        <v/>
      </c>
      <c r="K97" s="315"/>
      <c r="L97" s="319"/>
      <c r="M97" s="319"/>
      <c r="N97" s="319"/>
      <c r="O97" s="320"/>
      <c r="P97" s="317"/>
    </row>
    <row r="98" spans="1:16" s="321" customFormat="1" ht="51" x14ac:dyDescent="0.2">
      <c r="A98" s="309" t="s">
        <v>505</v>
      </c>
      <c r="B98" s="309" t="s">
        <v>533</v>
      </c>
      <c r="C98" s="310">
        <v>3</v>
      </c>
      <c r="D98" s="310" t="s">
        <v>647</v>
      </c>
      <c r="E98" s="309" t="s">
        <v>290</v>
      </c>
      <c r="F98" s="309" t="s">
        <v>801</v>
      </c>
      <c r="G98" s="330" t="s">
        <v>758</v>
      </c>
      <c r="H98" s="376" t="s">
        <v>1028</v>
      </c>
      <c r="I98" s="313"/>
      <c r="J98" s="314" t="str">
        <f>IFERROR(SUMPRODUCT(ISNUMBER(P_CKDATE)*ISNUMBER(P_RDATA),P_RDATA)/SUMPRODUCT(ISNUMBER(P_CKDATE)*ISNUMBER(P_RDATA)),"")</f>
        <v/>
      </c>
      <c r="K98" s="315"/>
      <c r="L98" s="319"/>
      <c r="M98" s="319"/>
      <c r="N98" s="319"/>
      <c r="O98" s="320"/>
      <c r="P98" s="317"/>
    </row>
    <row r="99" spans="1:16" s="321" customFormat="1" ht="191.25" x14ac:dyDescent="0.2">
      <c r="A99" s="309" t="s">
        <v>506</v>
      </c>
      <c r="B99" s="309" t="s">
        <v>533</v>
      </c>
      <c r="C99" s="310">
        <v>3</v>
      </c>
      <c r="D99" s="310" t="s">
        <v>647</v>
      </c>
      <c r="E99" s="309" t="s">
        <v>290</v>
      </c>
      <c r="F99" s="309" t="s">
        <v>488</v>
      </c>
      <c r="G99" s="310" t="s">
        <v>931</v>
      </c>
      <c r="H99" s="312"/>
      <c r="I99" s="313"/>
      <c r="J99" s="314" t="str">
        <f>IFERROR(SUMPRODUCT(ISNUMBER(P_CKDATE)*ISNUMBER(P_RDATA),P_RDATA)/SUMPRODUCT(ISNUMBER(P_CKDATE)*ISNUMBER(P_RDATA)),"")</f>
        <v/>
      </c>
      <c r="K99" s="315"/>
      <c r="L99" s="319"/>
      <c r="M99" s="319"/>
      <c r="N99" s="319"/>
      <c r="O99" s="320"/>
      <c r="P99" s="317"/>
    </row>
    <row r="100" spans="1:16" s="321" customFormat="1" ht="63.75" x14ac:dyDescent="0.2">
      <c r="A100" s="309" t="s">
        <v>507</v>
      </c>
      <c r="B100" s="309" t="s">
        <v>533</v>
      </c>
      <c r="C100" s="310">
        <v>3</v>
      </c>
      <c r="D100" s="310" t="s">
        <v>647</v>
      </c>
      <c r="E100" s="309" t="s">
        <v>494</v>
      </c>
      <c r="F100" s="309" t="s">
        <v>750</v>
      </c>
      <c r="G100" s="310" t="s">
        <v>802</v>
      </c>
      <c r="H100" s="386" t="s">
        <v>1031</v>
      </c>
      <c r="I100" s="313"/>
      <c r="J100" s="314" t="str">
        <f>IFERROR(SUMPRODUCT(ISNUMBER(P_CKDATE)*ISNUMBER(P_RDATA),P_RDATA)/SUMPRODUCT(ISNUMBER(P_CKDATE)*ISNUMBER(P_RDATA)),"")</f>
        <v/>
      </c>
      <c r="K100" s="315"/>
      <c r="L100" s="319"/>
      <c r="M100" s="319"/>
      <c r="N100" s="319"/>
      <c r="O100" s="320"/>
      <c r="P100" s="317"/>
    </row>
    <row r="101" spans="1:16" s="327" customFormat="1" ht="102" x14ac:dyDescent="0.2">
      <c r="A101" s="310" t="s">
        <v>900</v>
      </c>
      <c r="B101" s="310" t="s">
        <v>533</v>
      </c>
      <c r="C101" s="310">
        <v>2</v>
      </c>
      <c r="D101" s="310" t="s">
        <v>285</v>
      </c>
      <c r="E101" s="335" t="s">
        <v>290</v>
      </c>
      <c r="F101" s="336" t="s">
        <v>803</v>
      </c>
      <c r="G101" s="310" t="s">
        <v>985</v>
      </c>
      <c r="H101" s="312"/>
      <c r="I101" s="313"/>
      <c r="J101" s="314" t="str">
        <f>IFERROR(SUMPRODUCT(ISNUMBER(P_CKDATE)*ISNUMBER(P_RDATA),P_RDATA)/SUMPRODUCT(ISNUMBER(P_CKDATE)*ISNUMBER(P_RDATA)),"")</f>
        <v/>
      </c>
      <c r="K101" s="325"/>
      <c r="L101" s="325"/>
      <c r="M101" s="325"/>
      <c r="N101" s="325"/>
      <c r="O101" s="326"/>
      <c r="P101" s="317"/>
    </row>
    <row r="102" spans="1:16" s="318" customFormat="1" ht="165.75" x14ac:dyDescent="0.2">
      <c r="A102" s="309" t="s">
        <v>508</v>
      </c>
      <c r="B102" s="309" t="s">
        <v>533</v>
      </c>
      <c r="C102" s="310">
        <v>3</v>
      </c>
      <c r="D102" s="310" t="s">
        <v>647</v>
      </c>
      <c r="E102" s="309" t="s">
        <v>494</v>
      </c>
      <c r="F102" s="337" t="s">
        <v>489</v>
      </c>
      <c r="G102" s="310" t="s">
        <v>568</v>
      </c>
      <c r="H102" s="312"/>
      <c r="I102" s="313"/>
      <c r="J102" s="315"/>
      <c r="K102" s="315"/>
      <c r="L102" s="315"/>
      <c r="M102" s="315"/>
      <c r="N102" s="315"/>
      <c r="O102" s="316"/>
      <c r="P102" s="317"/>
    </row>
    <row r="103" spans="1:16" s="318" customFormat="1" ht="25.5" x14ac:dyDescent="0.2">
      <c r="A103" s="309" t="s">
        <v>509</v>
      </c>
      <c r="B103" s="309" t="s">
        <v>533</v>
      </c>
      <c r="C103" s="310">
        <v>3</v>
      </c>
      <c r="D103" s="310" t="s">
        <v>647</v>
      </c>
      <c r="E103" s="309" t="s">
        <v>494</v>
      </c>
      <c r="F103" s="242" t="s">
        <v>569</v>
      </c>
      <c r="G103" s="310"/>
      <c r="H103" s="312"/>
      <c r="I103" s="313"/>
      <c r="J103" s="314" t="str">
        <f>IFERROR(SUMPRODUCT(ISNUMBER(P_CKDATE)*ISNUMBER(P_RDATA),P_RDATA)/SUMPRODUCT(ISNUMBER(P_CKDATE)*ISNUMBER(P_RDATA)),"")</f>
        <v/>
      </c>
      <c r="K103" s="315"/>
      <c r="L103" s="315"/>
      <c r="M103" s="315"/>
      <c r="N103" s="315"/>
      <c r="O103" s="315"/>
      <c r="P103" s="317"/>
    </row>
    <row r="104" spans="1:16" s="318" customFormat="1" x14ac:dyDescent="0.2">
      <c r="A104" s="309" t="s">
        <v>511</v>
      </c>
      <c r="B104" s="309" t="s">
        <v>533</v>
      </c>
      <c r="C104" s="310">
        <v>3</v>
      </c>
      <c r="D104" s="310" t="s">
        <v>647</v>
      </c>
      <c r="E104" s="309" t="s">
        <v>494</v>
      </c>
      <c r="F104" s="242" t="s">
        <v>491</v>
      </c>
      <c r="G104" s="310"/>
      <c r="H104" s="312"/>
      <c r="I104" s="313"/>
      <c r="J104" s="314" t="str">
        <f>IFERROR(SUMPRODUCT(ISNUMBER(P_CKDATE)*ISNUMBER(P_RDATA),P_RDATA)/SUMPRODUCT(ISNUMBER(P_CKDATE)*ISNUMBER(P_RDATA)),"")</f>
        <v/>
      </c>
      <c r="K104" s="315"/>
      <c r="L104" s="315"/>
      <c r="M104" s="315"/>
      <c r="N104" s="315"/>
      <c r="O104" s="315"/>
      <c r="P104" s="317"/>
    </row>
    <row r="105" spans="1:16" s="318" customFormat="1" x14ac:dyDescent="0.2">
      <c r="A105" s="309" t="s">
        <v>510</v>
      </c>
      <c r="B105" s="309" t="s">
        <v>533</v>
      </c>
      <c r="C105" s="310">
        <v>3</v>
      </c>
      <c r="D105" s="310" t="s">
        <v>647</v>
      </c>
      <c r="E105" s="309" t="s">
        <v>494</v>
      </c>
      <c r="F105" s="303" t="s">
        <v>490</v>
      </c>
      <c r="G105" s="310"/>
      <c r="H105" s="312"/>
      <c r="I105" s="313"/>
      <c r="J105" s="314" t="str">
        <f>IFERROR(SUMPRODUCT(ISNUMBER(P_CKDATE)*ISNUMBER(P_RDATA),P_RDATA)/SUMPRODUCT(ISNUMBER(P_CKDATE)*ISNUMBER(P_RDATA)),"")</f>
        <v/>
      </c>
      <c r="K105" s="315"/>
      <c r="L105" s="315"/>
      <c r="M105" s="315"/>
      <c r="N105" s="315"/>
      <c r="O105" s="316"/>
      <c r="P105" s="317"/>
    </row>
    <row r="106" spans="1:16" s="318" customFormat="1" ht="107.25" customHeight="1" x14ac:dyDescent="0.2">
      <c r="A106" s="309" t="s">
        <v>512</v>
      </c>
      <c r="B106" s="309" t="s">
        <v>533</v>
      </c>
      <c r="C106" s="310">
        <v>3</v>
      </c>
      <c r="D106" s="310" t="s">
        <v>647</v>
      </c>
      <c r="E106" s="309" t="s">
        <v>494</v>
      </c>
      <c r="F106" s="303" t="s">
        <v>582</v>
      </c>
      <c r="G106" s="310" t="s">
        <v>932</v>
      </c>
      <c r="H106" s="312"/>
      <c r="I106" s="313"/>
      <c r="J106" s="314" t="str">
        <f>IFERROR(SUMPRODUCT(ISNUMBER(P_CKDATE)*ISNUMBER(P_RDATA),P_RDATA)/SUMPRODUCT(ISNUMBER(P_CKDATE)*ISNUMBER(P_RDATA)),"")</f>
        <v/>
      </c>
      <c r="K106" s="315"/>
      <c r="L106" s="315"/>
      <c r="M106" s="315"/>
      <c r="N106" s="315"/>
      <c r="O106" s="315"/>
      <c r="P106" s="317"/>
    </row>
    <row r="107" spans="1:16" s="384" customFormat="1" ht="306" x14ac:dyDescent="0.2">
      <c r="A107" s="378" t="s">
        <v>468</v>
      </c>
      <c r="B107" s="378" t="s">
        <v>533</v>
      </c>
      <c r="C107" s="378">
        <v>2</v>
      </c>
      <c r="D107" s="378" t="s">
        <v>283</v>
      </c>
      <c r="E107" s="378" t="s">
        <v>297</v>
      </c>
      <c r="F107" s="378" t="s">
        <v>318</v>
      </c>
      <c r="G107" s="378" t="s">
        <v>986</v>
      </c>
      <c r="H107" s="387" t="s">
        <v>1032</v>
      </c>
      <c r="I107" s="381"/>
      <c r="J107" s="352" t="str">
        <f>IFERROR(SUMPRODUCT(ISNUMBER(P_CKDATE)*ISNUMBER(P_RDATA),P_RDATA)/SUMPRODUCT(ISNUMBER(P_CKDATE)*ISNUMBER(P_RDATA)),"")</f>
        <v/>
      </c>
      <c r="K107" s="357"/>
      <c r="L107" s="357"/>
      <c r="M107" s="357"/>
      <c r="N107" s="357"/>
      <c r="O107" s="357"/>
      <c r="P107" s="383"/>
    </row>
    <row r="108" spans="1:16" s="318" customFormat="1" ht="89.25" x14ac:dyDescent="0.2">
      <c r="A108" s="309" t="s">
        <v>469</v>
      </c>
      <c r="B108" s="309" t="s">
        <v>533</v>
      </c>
      <c r="C108" s="310">
        <v>2</v>
      </c>
      <c r="D108" s="310" t="s">
        <v>283</v>
      </c>
      <c r="E108" s="309" t="s">
        <v>297</v>
      </c>
      <c r="F108" s="309" t="s">
        <v>804</v>
      </c>
      <c r="G108" s="310" t="s">
        <v>987</v>
      </c>
      <c r="H108" s="377" t="s">
        <v>1033</v>
      </c>
      <c r="I108" s="313"/>
      <c r="J108" s="314" t="str">
        <f>IFERROR(SUMPRODUCT(ISNUMBER(P_CKDATE)*ISNUMBER(P_RDATA),P_RDATA)/SUMPRODUCT(ISNUMBER(P_CKDATE)*ISNUMBER(P_RDATA)),"")</f>
        <v/>
      </c>
      <c r="K108" s="315"/>
      <c r="L108" s="315"/>
      <c r="M108" s="315"/>
      <c r="N108" s="315"/>
      <c r="O108" s="315"/>
      <c r="P108" s="317"/>
    </row>
    <row r="109" spans="1:16" s="318" customFormat="1" ht="89.25" x14ac:dyDescent="0.2">
      <c r="A109" s="309" t="s">
        <v>470</v>
      </c>
      <c r="B109" s="309" t="s">
        <v>533</v>
      </c>
      <c r="C109" s="310">
        <v>2</v>
      </c>
      <c r="D109" s="310" t="s">
        <v>283</v>
      </c>
      <c r="E109" s="309" t="s">
        <v>297</v>
      </c>
      <c r="F109" s="309" t="s">
        <v>805</v>
      </c>
      <c r="G109" s="310" t="s">
        <v>988</v>
      </c>
      <c r="H109" s="312"/>
      <c r="I109" s="313"/>
      <c r="J109" s="314" t="str">
        <f>IFERROR(SUMPRODUCT(ISNUMBER(P_CKDATE)*ISNUMBER(P_RDATA),P_RDATA)/SUMPRODUCT(ISNUMBER(P_CKDATE)*ISNUMBER(P_RDATA)),"")</f>
        <v/>
      </c>
      <c r="K109" s="315"/>
      <c r="L109" s="315"/>
      <c r="M109" s="315"/>
      <c r="N109" s="315"/>
      <c r="O109" s="315"/>
      <c r="P109" s="317"/>
    </row>
    <row r="110" spans="1:16" s="123" customFormat="1" x14ac:dyDescent="0.2">
      <c r="A110" s="135" t="s">
        <v>933</v>
      </c>
      <c r="B110" s="136"/>
      <c r="C110" s="136"/>
      <c r="D110" s="136"/>
      <c r="E110" s="136"/>
      <c r="F110" s="136"/>
      <c r="G110" s="144"/>
      <c r="H110" s="136"/>
      <c r="I110" s="136"/>
      <c r="J110" s="136"/>
      <c r="K110" s="136"/>
      <c r="L110" s="136"/>
      <c r="M110" s="136"/>
      <c r="N110" s="136"/>
      <c r="O110" s="136"/>
      <c r="P110" s="137"/>
    </row>
  </sheetData>
  <sheetProtection formatCells="0" formatColumns="0" formatRows="0" insertColumns="0" insertRows="0" insertHyperlinks="0" deleteColumns="0" deleteRows="0" sort="0" autoFilter="0" pivotTables="0"/>
  <dataConsolidate/>
  <mergeCells count="4">
    <mergeCell ref="I8:J8"/>
    <mergeCell ref="I9:J9"/>
    <mergeCell ref="I11:J11"/>
    <mergeCell ref="I10:J10"/>
  </mergeCells>
  <phoneticPr fontId="0" type="noConversion"/>
  <conditionalFormatting sqref="J34 J74 J84 J102:J103 K13:O109">
    <cfRule type="cellIs" dxfId="173" priority="85" stopIfTrue="1" operator="equal">
      <formula>100</formula>
    </cfRule>
    <cfRule type="expression" dxfId="172" priority="86" stopIfTrue="1">
      <formula>AND(J13&gt;=50,J13&lt;&gt;"N/A",NOT(ISERROR(VALUE(J13))))</formula>
    </cfRule>
    <cfRule type="expression" dxfId="171" priority="87" stopIfTrue="1">
      <formula>NOT(OR(ISBLANK(J13),J13="N/A",ISERROR(VALUE(J13))))</formula>
    </cfRule>
  </conditionalFormatting>
  <conditionalFormatting sqref="K19:O19 J13:J109">
    <cfRule type="expression" dxfId="170" priority="94" stopIfTrue="1">
      <formula>AND(J13&gt;=90,NOT(ISBLANK(J13)),NOT(ISERROR(VALUE(J13))))</formula>
    </cfRule>
    <cfRule type="expression" dxfId="169" priority="95" stopIfTrue="1">
      <formula>AND(J13&lt;90,J13&gt;=50,J13&lt;&gt;"N/A",NOT(ISERROR(VALUE(J13))))</formula>
    </cfRule>
    <cfRule type="expression" dxfId="168" priority="96" stopIfTrue="1">
      <formula>NOT(OR(ISBLANK(J13),J13="N/A",ISERROR(VALUE(J13))))</formula>
    </cfRule>
  </conditionalFormatting>
  <dataValidations count="7">
    <dataValidation type="list" allowBlank="1" showInputMessage="1" showErrorMessage="1" sqref="B2:B3">
      <formula1>"All, T, D, M, C, O ,D&amp;M"</formula1>
    </dataValidation>
    <dataValidation type="list" allowBlank="1" showInputMessage="1" showErrorMessage="1" sqref="L20:O33 L13:O18 K35:O73 K75:O83 K85:O101 K13:K33 K103:O109">
      <formula1>"100,50,0,N/A,&lt;&gt;"</formula1>
    </dataValidation>
    <dataValidation type="list" allowBlank="1" showInputMessage="1" showErrorMessage="1" sqref="B13:B109">
      <formula1>"All, D, T, O, M, C, D&amp;M, D&amp;C&amp;T, D&amp;C&amp;M, D&amp;M&amp;T"</formula1>
    </dataValidation>
    <dataValidation showDropDown="1" showInputMessage="1" showErrorMessage="1" sqref="B12"/>
    <dataValidation operator="greaterThanOrEqual" allowBlank="1" showInputMessage="1" showErrorMessage="1" sqref="P11"/>
    <dataValidation type="date" operator="greaterThanOrEqual" allowBlank="1" showInputMessage="1" showErrorMessage="1" sqref="K11:O11">
      <formula1>1</formula1>
    </dataValidation>
    <dataValidation type="custom" allowBlank="1" showErrorMessage="1" errorTitle="Input error!" error="You cannot enter value for this parent item!" promptTitle="Error!" sqref="J74:O74 J84:O84 J102:O102 J34:O34">
      <formula1>"Parent Item"</formula1>
    </dataValidation>
  </dataValidations>
  <pageMargins left="0.19685039370078741" right="0.19685039370078741" top="0.43307086614173229" bottom="0.51181102362204722" header="0.23622047244094491" footer="0.23622047244094491"/>
  <pageSetup paperSize="9" scale="52" orientation="landscape" horizontalDpi="300" verticalDpi="300" r:id="rId1"/>
  <headerFooter alignWithMargins="0">
    <oddFooter>&amp;L02e-CL/CL/HDCV/FSOFT v2/3&amp;CInternal use&amp;R&amp;P/&amp;N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filterMode="1">
    <tabColor indexed="14"/>
  </sheetPr>
  <dimension ref="A1:W87"/>
  <sheetViews>
    <sheetView showGridLines="0" topLeftCell="A59" zoomScale="80" zoomScaleNormal="80" workbookViewId="0">
      <selection activeCell="H74" sqref="H74"/>
    </sheetView>
  </sheetViews>
  <sheetFormatPr defaultColWidth="9.140625" defaultRowHeight="12.75" x14ac:dyDescent="0.2"/>
  <cols>
    <col min="1" max="1" width="8.140625" style="155" customWidth="1"/>
    <col min="2" max="2" width="10.140625" style="158" customWidth="1"/>
    <col min="3" max="3" width="12.140625" style="167" customWidth="1"/>
    <col min="4" max="4" width="12.140625" style="155" customWidth="1"/>
    <col min="5" max="5" width="37.140625" style="155" customWidth="1"/>
    <col min="6" max="6" width="40" style="155" customWidth="1"/>
    <col min="7" max="7" width="43.28515625" style="167" customWidth="1"/>
    <col min="8" max="8" width="24.42578125" style="155" customWidth="1"/>
    <col min="9" max="9" width="19" style="156" customWidth="1"/>
    <col min="10" max="10" width="13" style="155" customWidth="1"/>
    <col min="11" max="11" width="13.28515625" style="155" customWidth="1"/>
    <col min="12" max="13" width="11.42578125" style="155" bestFit="1" customWidth="1"/>
    <col min="14" max="14" width="12.42578125" style="155" customWidth="1"/>
    <col min="15" max="15" width="11.7109375" style="155" customWidth="1"/>
    <col min="16" max="16" width="16" style="155" customWidth="1"/>
    <col min="17" max="22" width="11.7109375" style="155" customWidth="1"/>
    <col min="23" max="23" width="14" style="155" customWidth="1"/>
    <col min="24" max="16384" width="9.140625" style="155"/>
  </cols>
  <sheetData>
    <row r="1" spans="1:23" s="170" customFormat="1" ht="20.25" x14ac:dyDescent="0.2">
      <c r="A1" s="168"/>
      <c r="B1" s="169"/>
      <c r="C1" s="168" t="s">
        <v>382</v>
      </c>
      <c r="D1" s="168"/>
      <c r="G1" s="174"/>
      <c r="I1" s="171"/>
    </row>
    <row r="2" spans="1:23" x14ac:dyDescent="0.2">
      <c r="A2" s="153"/>
      <c r="B2" s="154"/>
      <c r="C2" s="153" t="s">
        <v>403</v>
      </c>
      <c r="D2" s="153"/>
      <c r="J2" s="157"/>
      <c r="K2" s="157"/>
      <c r="L2" s="157"/>
      <c r="M2" s="157"/>
    </row>
    <row r="3" spans="1:23" s="49" customFormat="1" x14ac:dyDescent="0.2">
      <c r="B3" s="173"/>
      <c r="C3" s="79" t="s">
        <v>340</v>
      </c>
      <c r="D3" s="79" t="s">
        <v>316</v>
      </c>
      <c r="E3" s="79" t="s">
        <v>647</v>
      </c>
      <c r="F3" s="80" t="s">
        <v>289</v>
      </c>
      <c r="G3" s="81" t="s">
        <v>283</v>
      </c>
      <c r="H3" s="81" t="s">
        <v>284</v>
      </c>
      <c r="I3" s="80" t="s">
        <v>286</v>
      </c>
      <c r="J3" s="82" t="s">
        <v>648</v>
      </c>
      <c r="K3" s="80" t="s">
        <v>649</v>
      </c>
      <c r="L3" s="80" t="s">
        <v>285</v>
      </c>
      <c r="M3" s="80" t="s">
        <v>650</v>
      </c>
      <c r="N3" s="80" t="s">
        <v>651</v>
      </c>
      <c r="O3" s="80" t="s">
        <v>652</v>
      </c>
      <c r="P3" s="80" t="s">
        <v>380</v>
      </c>
      <c r="Q3" s="80" t="s">
        <v>970</v>
      </c>
    </row>
    <row r="4" spans="1:23" s="156" customFormat="1" x14ac:dyDescent="0.2">
      <c r="A4" s="159"/>
      <c r="B4" s="160"/>
      <c r="C4" s="146" t="s">
        <v>63</v>
      </c>
      <c r="D4" s="101" t="str">
        <f>IFERROR(SUMPRODUCT(ISNUMBER(W_CKDATE)*ISNUMBER(W_CKDATA)*W_INTYPE,W_CKDATA)/SUMPRODUCT(ISNUMBER(W_CKDATE)*ISNUMBER(W_CKDATA)*W_INTYPE),"")</f>
        <v/>
      </c>
      <c r="E4" s="102" t="str">
        <f>IFERROR(SUMPRODUCT(ISNUMBER(W_CKDATE)*(W_CAT=E$3)*ISNUMBER(W_CKDATA)*W_INTYPE,W_CKDATA)/SUMPRODUCT(ISNUMBER(W_CKDATE)*(W_CAT=E$3)*ISNUMBER(W_CKDATA)*W_INTYPE),"")</f>
        <v/>
      </c>
      <c r="F4" s="254" t="str">
        <f>IFERROR(SUMPRODUCT(ISNUMBER(W_CKDATE)*(W_CAT=F$3)*ISNUMBER(W_CKDATA)*W_INTYPE,W_CKDATA)/SUMPRODUCT(ISNUMBER(W_CKDATE)*(W_CAT=F$3)*ISNUMBER(W_CKDATA)*W_INTYPE),"")</f>
        <v/>
      </c>
      <c r="G4" s="254" t="str">
        <f>IFERROR(SUMPRODUCT(ISNUMBER(W_CKDATE)*(W_CAT=G$3)*ISNUMBER(W_CKDATA)*W_INTYPE,W_CKDATA)/SUMPRODUCT(ISNUMBER(W_CKDATE)*(W_CAT=G$3)*ISNUMBER(W_CKDATA)*W_INTYPE),"")</f>
        <v/>
      </c>
      <c r="H4" s="254" t="str">
        <f>IFERROR(SUMPRODUCT(ISNUMBER(W_CKDATE)*(W_CAT=H$3)*ISNUMBER(W_CKDATA)*W_INTYPE,W_CKDATA)/SUMPRODUCT(ISNUMBER(W_CKDATE)*(W_CAT=H$3)*ISNUMBER(W_CKDATA)*W_INTYPE),"")</f>
        <v/>
      </c>
      <c r="I4" s="254" t="str">
        <f>IFERROR(SUMPRODUCT(ISNUMBER(W_CKDATE)*(W_CAT=I$3)*ISNUMBER(W_CKDATA)*W_INTYPE,W_CKDATA)/SUMPRODUCT(ISNUMBER(W_CKDATE)*(W_CAT=I$3)*ISNUMBER(W_CKDATA)*W_INTYPE),"")</f>
        <v/>
      </c>
      <c r="J4" s="254" t="str">
        <f>IFERROR(SUMPRODUCT(ISNUMBER(W_CKDATE)*(W_CAT=J$3)*ISNUMBER(W_CKDATA)*W_INTYPE,W_CKDATA)/SUMPRODUCT(ISNUMBER(W_CKDATE)*(W_CAT=J$3)*ISNUMBER(W_CKDATA)*W_INTYPE),"")</f>
        <v/>
      </c>
      <c r="K4" s="254" t="str">
        <f>IFERROR(SUMPRODUCT(ISNUMBER(W_CKDATE)*(W_CAT=K$3)*ISNUMBER(W_CKDATA)*W_INTYPE,W_CKDATA)/SUMPRODUCT(ISNUMBER(W_CKDATE)*(W_CAT=K$3)*ISNUMBER(W_CKDATA)*W_INTYPE),"")</f>
        <v/>
      </c>
      <c r="L4" s="254" t="str">
        <f>IFERROR(SUMPRODUCT(ISNUMBER(W_CKDATE)*(W_CAT=L$3)*ISNUMBER(W_CKDATA)*W_INTYPE,W_CKDATA)/SUMPRODUCT(ISNUMBER(W_CKDATE)*(W_CAT=L$3)*ISNUMBER(W_CKDATA)*W_INTYPE),"")</f>
        <v/>
      </c>
      <c r="M4" s="254" t="str">
        <f>IFERROR(SUMPRODUCT(ISNUMBER(W_CKDATE)*(W_CAT=M$3)*ISNUMBER(W_CKDATA)*W_INTYPE,W_CKDATA)/SUMPRODUCT(ISNUMBER(W_CKDATE)*(W_CAT=M$3)*ISNUMBER(W_CKDATA)*W_INTYPE),"")</f>
        <v/>
      </c>
      <c r="N4" s="254" t="str">
        <f>IFERROR(SUMPRODUCT(ISNUMBER(W_CKDATE)*(W_CAT=N$3)*ISNUMBER(W_CKDATA)*W_INTYPE,W_CKDATA)/SUMPRODUCT(ISNUMBER(W_CKDATE)*(W_CAT=N$3)*ISNUMBER(W_CKDATA)*W_INTYPE),"")</f>
        <v/>
      </c>
      <c r="O4" s="254" t="str">
        <f>IFERROR(SUMPRODUCT(ISNUMBER(W_CKDATE)*(W_CAT=O$3)*ISNUMBER(W_CKDATA)*W_INTYPE,W_CKDATA)/SUMPRODUCT(ISNUMBER(W_CKDATE)*(W_CAT=O$3)*ISNUMBER(W_CKDATA)*W_INTYPE),"")</f>
        <v/>
      </c>
      <c r="P4" s="254" t="str">
        <f>IFERROR(SUMPRODUCT(ISNUMBER(W_CKDATE)*(W_CAT=P$3)*ISNUMBER(W_CKDATA)*W_INTYPE,W_CKDATA)/SUMPRODUCT(ISNUMBER(W_CKDATE)*(W_CAT=P$3)*ISNUMBER(W_CKDATA)*W_INTYPE),"")</f>
        <v/>
      </c>
      <c r="Q4" s="304" t="str">
        <f>IFERROR(SUMPRODUCT(ISNUMBER(W_CKDATE)*(W_CAT=Q$3)*ISNUMBER(W_CKDATA)*W_INTYPE,W_CKDATA)/SUMPRODUCT(ISNUMBER(W_CKDATE)*(W_CAT=Q$3)*ISNUMBER(W_CKDATA)*W_INTYPE),"")</f>
        <v/>
      </c>
    </row>
    <row r="5" spans="1:23" s="98" customFormat="1" x14ac:dyDescent="0.2">
      <c r="B5" s="99"/>
      <c r="C5" s="146" t="s">
        <v>351</v>
      </c>
      <c r="D5" s="101" t="str">
        <f>IFERROR(SUMPRODUCT(ISNUMBER(W_CKDATE)*ISNUMBER(W_CKDATA)*W_SM*W_INTYPE,W_CKDATA)/SUMPRODUCT(ISNUMBER(W_CKDATE)*ISNUMBER(W_CKDATA)*W_SM*W_INTYPE),"")</f>
        <v/>
      </c>
      <c r="E5" s="102" t="str">
        <f>IFERROR(SUMPRODUCT(ISNUMBER(W_CKDATE)*(W_CAT=E$3)*ISNUMBER(W_CKDATA)*W_SM*W_INTYPE,W_CKDATA)/SUMPRODUCT(ISNUMBER(W_CKDATE)*(W_CAT=E$3)*ISNUMBER(W_CKDATA)*W_SM*W_INTYPE),"")</f>
        <v/>
      </c>
      <c r="F5" s="254" t="str">
        <f>IFERROR(SUMPRODUCT(ISNUMBER(W_CKDATE)*(W_CAT=F$3)*ISNUMBER(W_CKDATA)*W_SM*W_INTYPE,W_CKDATA)/SUMPRODUCT(ISNUMBER(W_CKDATE)*(W_CAT=F$3)*ISNUMBER(W_CKDATA)*W_SM*W_INTYPE),"")</f>
        <v/>
      </c>
      <c r="G5" s="254" t="str">
        <f>IFERROR(SUMPRODUCT(ISNUMBER(W_CKDATE)*(W_CAT=G$3)*ISNUMBER(W_CKDATA)*W_SM*W_INTYPE,W_CKDATA)/SUMPRODUCT(ISNUMBER(W_CKDATE)*(W_CAT=G$3)*ISNUMBER(W_CKDATA)*W_SM*W_INTYPE),"")</f>
        <v/>
      </c>
      <c r="H5" s="254" t="str">
        <f>IFERROR(SUMPRODUCT(ISNUMBER(W_CKDATE)*(W_CAT=H$3)*ISNUMBER(W_CKDATA)*W_SM*W_INTYPE,W_CKDATA)/SUMPRODUCT(ISNUMBER(W_CKDATE)*(W_CAT=H$3)*ISNUMBER(W_CKDATA)*W_SM*W_INTYPE),"")</f>
        <v/>
      </c>
      <c r="I5" s="254" t="str">
        <f>IFERROR(SUMPRODUCT(ISNUMBER(W_CKDATE)*(W_CAT=I$3)*ISNUMBER(W_CKDATA)*W_SM*W_INTYPE,W_CKDATA)/SUMPRODUCT(ISNUMBER(W_CKDATE)*(W_CAT=I$3)*ISNUMBER(W_CKDATA)*W_SM*W_INTYPE),"")</f>
        <v/>
      </c>
      <c r="J5" s="254" t="str">
        <f>IFERROR(SUMPRODUCT(ISNUMBER(W_CKDATE)*(W_CAT=J$3)*ISNUMBER(W_CKDATA)*W_SM*W_INTYPE,W_CKDATA)/SUMPRODUCT(ISNUMBER(W_CKDATE)*(W_CAT=J$3)*ISNUMBER(W_CKDATA)*W_SM*W_INTYPE),"")</f>
        <v/>
      </c>
      <c r="K5" s="254" t="str">
        <f>IFERROR(SUMPRODUCT(ISNUMBER(W_CKDATE)*(W_CAT=K$3)*ISNUMBER(W_CKDATA)*W_SM*W_INTYPE,W_CKDATA)/SUMPRODUCT(ISNUMBER(W_CKDATE)*(W_CAT=K$3)*ISNUMBER(W_CKDATA)*W_SM*W_INTYPE),"")</f>
        <v/>
      </c>
      <c r="L5" s="254" t="str">
        <f>IFERROR(SUMPRODUCT(ISNUMBER(W_CKDATE)*(W_CAT=L$3)*ISNUMBER(W_CKDATA)*W_SM*W_INTYPE,W_CKDATA)/SUMPRODUCT(ISNUMBER(W_CKDATE)*(W_CAT=L$3)*ISNUMBER(W_CKDATA)*W_SM*W_INTYPE),"")</f>
        <v/>
      </c>
      <c r="M5" s="254" t="str">
        <f>IFERROR(SUMPRODUCT(ISNUMBER(W_CKDATE)*(W_CAT=M$3)*ISNUMBER(W_CKDATA)*W_SM*W_INTYPE,W_CKDATA)/SUMPRODUCT(ISNUMBER(W_CKDATE)*(W_CAT=M$3)*ISNUMBER(W_CKDATA)*W_SM*W_INTYPE),"")</f>
        <v/>
      </c>
      <c r="N5" s="254" t="str">
        <f>IFERROR(SUMPRODUCT(ISNUMBER(W_CKDATE)*(W_CAT=N$3)*ISNUMBER(W_CKDATA)*W_SM*W_INTYPE,W_CKDATA)/SUMPRODUCT(ISNUMBER(W_CKDATE)*(W_CAT=N$3)*ISNUMBER(W_CKDATA)*W_SM*W_INTYPE),"")</f>
        <v/>
      </c>
      <c r="O5" s="254" t="str">
        <f>IFERROR(SUMPRODUCT(ISNUMBER(W_CKDATE)*(W_CAT=O$3)*ISNUMBER(W_CKDATA)*W_SM*W_INTYPE,W_CKDATA)/SUMPRODUCT(ISNUMBER(W_CKDATE)*(W_CAT=O$3)*ISNUMBER(W_CKDATA)*W_SM*W_INTYPE),"")</f>
        <v/>
      </c>
      <c r="P5" s="254" t="str">
        <f>IFERROR(SUMPRODUCT(ISNUMBER(W_CKDATE)*(W_CAT=P$3)*ISNUMBER(W_CKDATA)*W_SM*W_INTYPE,W_CKDATA)/SUMPRODUCT(ISNUMBER(W_CKDATE)*(W_CAT=P$3)*ISNUMBER(W_CKDATA)*W_SM*W_INTYPE),"")</f>
        <v/>
      </c>
      <c r="Q5" s="304" t="str">
        <f>IFERROR(SUMPRODUCT(ISNUMBER(W_CKDATE)*(W_CAT=Q$3)*ISNUMBER(W_CKDATA)*W_SM*W_INTYPE,W_CKDATA)/SUMPRODUCT(ISNUMBER(W_CKDATE)*(W_CAT=Q$3)*ISNUMBER(W_CKDATA)*W_SM*W_INTYPE),"")</f>
        <v/>
      </c>
    </row>
    <row r="6" spans="1:23" s="98" customFormat="1" x14ac:dyDescent="0.2">
      <c r="B6" s="99"/>
      <c r="C6" s="146" t="s">
        <v>352</v>
      </c>
      <c r="D6" s="101" t="str">
        <f>IFERROR(SUMPRODUCT(ISNUMBER(W_CKDATE)*ISNUMBER(W_CKDATA)*W_PM*W_INTYPE,W_CKDATA)/SUMPRODUCT(ISNUMBER(W_CKDATE)*ISNUMBER(W_CKDATA)*W_PM*W_INTYPE),"")</f>
        <v/>
      </c>
      <c r="E6" s="102" t="str">
        <f>IFERROR(SUMPRODUCT(ISNUMBER(W_CKDATE)*(W_CAT=E$3)*ISNUMBER(W_CKDATA)*W_PM*W_INTYPE,W_CKDATA)/SUMPRODUCT(ISNUMBER(W_CKDATE)*(W_CAT=E$3)*ISNUMBER(W_CKDATA)*W_PM*W_INTYPE),"")</f>
        <v/>
      </c>
      <c r="F6" s="254" t="str">
        <f>IFERROR(SUMPRODUCT(ISNUMBER(W_CKDATE)*(W_CAT=F$3)*ISNUMBER(W_CKDATA)*W_PM*W_INTYPE,W_CKDATA)/SUMPRODUCT(ISNUMBER(W_CKDATE)*(W_CAT=F$3)*ISNUMBER(W_CKDATA)*W_PM*W_INTYPE),"")</f>
        <v/>
      </c>
      <c r="G6" s="254" t="str">
        <f>IFERROR(SUMPRODUCT(ISNUMBER(W_CKDATE)*(W_CAT=G$3)*ISNUMBER(W_CKDATA)*W_PM*W_INTYPE,W_CKDATA)/SUMPRODUCT(ISNUMBER(W_CKDATE)*(W_CAT=G$3)*ISNUMBER(W_CKDATA)*W_PM*W_INTYPE),"")</f>
        <v/>
      </c>
      <c r="H6" s="254" t="str">
        <f>IFERROR(SUMPRODUCT(ISNUMBER(W_CKDATE)*(W_CAT=H$3)*ISNUMBER(W_CKDATA)*W_PM*W_INTYPE,W_CKDATA)/SUMPRODUCT(ISNUMBER(W_CKDATE)*(W_CAT=H$3)*ISNUMBER(W_CKDATA)*W_PM*W_INTYPE),"")</f>
        <v/>
      </c>
      <c r="I6" s="254" t="str">
        <f>IFERROR(SUMPRODUCT(ISNUMBER(W_CKDATE)*(W_CAT=I$3)*ISNUMBER(W_CKDATA)*W_PM*W_INTYPE,W_CKDATA)/SUMPRODUCT(ISNUMBER(W_CKDATE)*(W_CAT=I$3)*ISNUMBER(W_CKDATA)*W_PM*W_INTYPE),"")</f>
        <v/>
      </c>
      <c r="J6" s="254" t="str">
        <f>IFERROR(SUMPRODUCT(ISNUMBER(W_CKDATE)*(W_CAT=J$3)*ISNUMBER(W_CKDATA)*W_PM*W_INTYPE,W_CKDATA)/SUMPRODUCT(ISNUMBER(W_CKDATE)*(W_CAT=J$3)*ISNUMBER(W_CKDATA)*W_PM*W_INTYPE),"")</f>
        <v/>
      </c>
      <c r="K6" s="254" t="str">
        <f>IFERROR(SUMPRODUCT(ISNUMBER(W_CKDATE)*(W_CAT=K$3)*ISNUMBER(W_CKDATA)*W_PM*W_INTYPE,W_CKDATA)/SUMPRODUCT(ISNUMBER(W_CKDATE)*(W_CAT=K$3)*ISNUMBER(W_CKDATA)*W_PM*W_INTYPE),"")</f>
        <v/>
      </c>
      <c r="L6" s="254" t="str">
        <f>IFERROR(SUMPRODUCT(ISNUMBER(W_CKDATE)*(W_CAT=L$3)*ISNUMBER(W_CKDATA)*W_PM*W_INTYPE,W_CKDATA)/SUMPRODUCT(ISNUMBER(W_CKDATE)*(W_CAT=L$3)*ISNUMBER(W_CKDATA)*W_PM*W_INTYPE),"")</f>
        <v/>
      </c>
      <c r="M6" s="254" t="str">
        <f>IFERROR(SUMPRODUCT(ISNUMBER(W_CKDATE)*(W_CAT=M$3)*ISNUMBER(W_CKDATA)*W_PM*W_INTYPE,W_CKDATA)/SUMPRODUCT(ISNUMBER(W_CKDATE)*(W_CAT=M$3)*ISNUMBER(W_CKDATA)*W_PM*W_INTYPE),"")</f>
        <v/>
      </c>
      <c r="N6" s="254" t="str">
        <f>IFERROR(SUMPRODUCT(ISNUMBER(W_CKDATE)*(W_CAT=N$3)*ISNUMBER(W_CKDATA)*W_PM*W_INTYPE,W_CKDATA)/SUMPRODUCT(ISNUMBER(W_CKDATE)*(W_CAT=N$3)*ISNUMBER(W_CKDATA)*W_PM*W_INTYPE),"")</f>
        <v/>
      </c>
      <c r="O6" s="254" t="str">
        <f>IFERROR(SUMPRODUCT(ISNUMBER(W_CKDATE)*(W_CAT=O$3)*ISNUMBER(W_CKDATA)*W_PM*W_INTYPE,W_CKDATA)/SUMPRODUCT(ISNUMBER(W_CKDATE)*(W_CAT=O$3)*ISNUMBER(W_CKDATA)*W_PM*W_INTYPE),"")</f>
        <v/>
      </c>
      <c r="P6" s="254" t="str">
        <f>IFERROR(SUMPRODUCT(ISNUMBER(W_CKDATE)*(W_CAT=P$3)*ISNUMBER(W_CKDATA)*W_PM*W_INTYPE,W_CKDATA)/SUMPRODUCT(ISNUMBER(W_CKDATE)*(W_CAT=P$3)*ISNUMBER(W_CKDATA)*W_PM*W_INTYPE),"")</f>
        <v/>
      </c>
      <c r="Q6" s="304" t="str">
        <f>IFERROR(SUMPRODUCT(ISNUMBER(W_CKDATE)*(W_CAT=Q$3)*ISNUMBER(W_CKDATA)*W_PM*W_INTYPE,W_CKDATA)/SUMPRODUCT(ISNUMBER(W_CKDATE)*(W_CAT=Q$3)*ISNUMBER(W_CKDATA)*W_PM*W_INTYPE),"")</f>
        <v/>
      </c>
    </row>
    <row r="7" spans="1:23" s="99" customFormat="1" x14ac:dyDescent="0.2">
      <c r="C7" s="147"/>
      <c r="D7" s="147"/>
      <c r="E7" s="147"/>
      <c r="F7" s="148"/>
      <c r="G7" s="147"/>
      <c r="H7" s="147"/>
      <c r="I7" s="147"/>
      <c r="J7" s="147"/>
      <c r="K7" s="147"/>
      <c r="L7" s="147"/>
    </row>
    <row r="8" spans="1:23" s="150" customFormat="1" x14ac:dyDescent="0.2">
      <c r="A8" s="149"/>
      <c r="B8" s="106"/>
      <c r="C8" s="106"/>
      <c r="D8" s="161"/>
      <c r="E8" s="149"/>
      <c r="F8" s="149"/>
      <c r="G8" s="149"/>
      <c r="H8" s="149"/>
      <c r="I8" s="478" t="s">
        <v>432</v>
      </c>
      <c r="J8" s="479"/>
      <c r="K8" s="101" t="str">
        <f>IF(ISNUMBER(K$11),IFERROR(SUMPRODUCT(ISNUMBER(W_CDATA)*W_INTYPE,W_CDATA)/SUMPRODUCT(ISNUMBER(W_CDATA)*W_INTYPE),""),"")</f>
        <v/>
      </c>
      <c r="L8" s="101" t="str">
        <f>IF(ISNUMBER(L$11),IFERROR(SUMPRODUCT(ISNUMBER(W_CDATA)*W_INTYPE,W_CDATA)/SUMPRODUCT(ISNUMBER(W_CDATA)*W_INTYPE),""),"")</f>
        <v/>
      </c>
      <c r="M8" s="101" t="str">
        <f>IF(ISNUMBER(M$11),IFERROR(SUMPRODUCT(ISNUMBER(W_CDATA)*W_INTYPE,W_CDATA)/SUMPRODUCT(ISNUMBER(W_CDATA)*W_INTYPE),""),"")</f>
        <v/>
      </c>
      <c r="N8" s="101" t="str">
        <f>IF(ISNUMBER(N$11),IFERROR(SUMPRODUCT(ISNUMBER(W_CDATA)*W_INTYPE,W_CDATA)/SUMPRODUCT(ISNUMBER(W_CDATA)*W_INTYPE),""),"")</f>
        <v/>
      </c>
      <c r="O8" s="101" t="str">
        <f>IF(ISNUMBER(O$11),IFERROR(SUMPRODUCT(ISNUMBER(W_CDATA)*W_INTYPE,W_CDATA)/SUMPRODUCT(ISNUMBER(W_CDATA)*W_INTYPE),""),"")</f>
        <v/>
      </c>
      <c r="P8" s="101" t="str">
        <f>IF(ISNUMBER(P$11),IFERROR(SUMPRODUCT(ISNUMBER(W_CDATA)*W_INTYPE,W_CDATA)/SUMPRODUCT(ISNUMBER(W_CDATA)*W_INTYPE),""),"")</f>
        <v/>
      </c>
      <c r="Q8" s="101" t="str">
        <f>IF(ISNUMBER(Q$11),IFERROR(SUMPRODUCT(ISNUMBER(W_CDATA)*W_INTYPE,W_CDATA)/SUMPRODUCT(ISNUMBER(W_CDATA)*W_INTYPE),""),"")</f>
        <v/>
      </c>
      <c r="R8" s="101" t="str">
        <f>IF(ISNUMBER(R$11),IFERROR(SUMPRODUCT(ISNUMBER(W_CDATA)*W_INTYPE,W_CDATA)/SUMPRODUCT(ISNUMBER(W_CDATA)*W_INTYPE),""),"")</f>
        <v/>
      </c>
      <c r="S8" s="101" t="str">
        <f>IF(ISNUMBER(S$11),IFERROR(SUMPRODUCT(ISNUMBER(W_CDATA)*W_INTYPE,W_CDATA)/SUMPRODUCT(ISNUMBER(W_CDATA)*W_INTYPE),""),"")</f>
        <v/>
      </c>
      <c r="T8" s="101" t="str">
        <f>IF(ISNUMBER(T$11),IFERROR(SUMPRODUCT(ISNUMBER(W_CDATA)*W_INTYPE,W_CDATA)/SUMPRODUCT(ISNUMBER(W_CDATA)*W_INTYPE),""),"")</f>
        <v/>
      </c>
      <c r="U8" s="101" t="str">
        <f>IF(ISNUMBER(U$11),IFERROR(SUMPRODUCT(ISNUMBER(W_CDATA)*W_INTYPE,W_CDATA)/SUMPRODUCT(ISNUMBER(W_CDATA)*W_INTYPE),""),"")</f>
        <v/>
      </c>
      <c r="V8" s="101" t="str">
        <f>IF(ISNUMBER(V$11),IFERROR(SUMPRODUCT(ISNUMBER(W_CDATA)*W_INTYPE,W_CDATA)/SUMPRODUCT(ISNUMBER(W_CDATA)*W_INTYPE),""),"")</f>
        <v/>
      </c>
      <c r="W8" s="109" t="str">
        <f>IF(OR(SUMPRODUCT(ISNUMBER(W13:W87)*($D$13:$D$87&lt;&gt;""))=0,NOT(ISNUMBER(W11))),"",SUMPRODUCT(ISNUMBER(W13:W87)*($D$13:$D$87&lt;&gt;""),W13:W87)/SUMPRODUCT(ISNUMBER(W13:W87)*($D$13:$D$87&lt;&gt;"")))</f>
        <v/>
      </c>
    </row>
    <row r="9" spans="1:23" s="150" customFormat="1" x14ac:dyDescent="0.2">
      <c r="A9" s="149"/>
      <c r="B9" s="154"/>
      <c r="C9" s="154"/>
      <c r="D9" s="149"/>
      <c r="E9" s="161"/>
      <c r="F9" s="149"/>
      <c r="G9" s="149"/>
      <c r="H9" s="149"/>
      <c r="I9" s="478" t="s">
        <v>433</v>
      </c>
      <c r="J9" s="479"/>
      <c r="K9" s="101" t="str">
        <f>IF(ISNUMBER(K$11),IFERROR(SUMPRODUCT(ISNUMBER(W_CDATA)*W_SM*W_INTYPE,W_CDATA)/SUMPRODUCT(ISNUMBER(W_CDATA)*W_SM*W_INTYPE),""),"")</f>
        <v/>
      </c>
      <c r="L9" s="101" t="str">
        <f>IF(ISNUMBER(L$11),IFERROR(SUMPRODUCT(ISNUMBER(W_CDATA)*W_SM*W_INTYPE,W_CDATA)/SUMPRODUCT(ISNUMBER(W_CDATA)*W_SM*W_INTYPE),""),"")</f>
        <v/>
      </c>
      <c r="M9" s="101" t="str">
        <f>IF(ISNUMBER(M$11),IFERROR(SUMPRODUCT(ISNUMBER(W_CDATA)*W_SM*W_INTYPE,W_CDATA)/SUMPRODUCT(ISNUMBER(W_CDATA)*W_SM*W_INTYPE),""),"")</f>
        <v/>
      </c>
      <c r="N9" s="101" t="str">
        <f>IF(ISNUMBER(N$11),IFERROR(SUMPRODUCT(ISNUMBER(W_CDATA)*W_SM*W_INTYPE,W_CDATA)/SUMPRODUCT(ISNUMBER(W_CDATA)*W_SM*W_INTYPE),""),"")</f>
        <v/>
      </c>
      <c r="O9" s="101" t="str">
        <f>IF(ISNUMBER(O$11),IFERROR(SUMPRODUCT(ISNUMBER(W_CDATA)*W_SM*W_INTYPE,W_CDATA)/SUMPRODUCT(ISNUMBER(W_CDATA)*W_SM*W_INTYPE),""),"")</f>
        <v/>
      </c>
      <c r="P9" s="101" t="str">
        <f>IF(ISNUMBER(P$11),IFERROR(SUMPRODUCT(ISNUMBER(W_CDATA)*W_SM*W_INTYPE,W_CDATA)/SUMPRODUCT(ISNUMBER(W_CDATA)*W_SM*W_INTYPE),""),"")</f>
        <v/>
      </c>
      <c r="Q9" s="101" t="str">
        <f>IF(ISNUMBER(Q$11),IFERROR(SUMPRODUCT(ISNUMBER(W_CDATA)*W_SM*W_INTYPE,W_CDATA)/SUMPRODUCT(ISNUMBER(W_CDATA)*W_SM*W_INTYPE),""),"")</f>
        <v/>
      </c>
      <c r="R9" s="101" t="str">
        <f>IF(ISNUMBER(R$11),IFERROR(SUMPRODUCT(ISNUMBER(W_CDATA)*W_SM*W_INTYPE,W_CDATA)/SUMPRODUCT(ISNUMBER(W_CDATA)*W_SM*W_INTYPE),""),"")</f>
        <v/>
      </c>
      <c r="S9" s="101" t="str">
        <f>IF(ISNUMBER(S$11),IFERROR(SUMPRODUCT(ISNUMBER(W_CDATA)*W_SM*W_INTYPE,W_CDATA)/SUMPRODUCT(ISNUMBER(W_CDATA)*W_SM*W_INTYPE),""),"")</f>
        <v/>
      </c>
      <c r="T9" s="101" t="str">
        <f>IF(ISNUMBER(T$11),IFERROR(SUMPRODUCT(ISNUMBER(W_CDATA)*W_SM*W_INTYPE,W_CDATA)/SUMPRODUCT(ISNUMBER(W_CDATA)*W_SM*W_INTYPE),""),"")</f>
        <v/>
      </c>
      <c r="U9" s="101" t="str">
        <f>IF(ISNUMBER(U$11),IFERROR(SUMPRODUCT(ISNUMBER(W_CDATA)*W_SM*W_INTYPE,W_CDATA)/SUMPRODUCT(ISNUMBER(W_CDATA)*W_SM*W_INTYPE),""),"")</f>
        <v/>
      </c>
      <c r="V9" s="101" t="str">
        <f>IF(ISNUMBER(V$11),IFERROR(SUMPRODUCT(ISNUMBER(W_CDATA)*W_SM*W_INTYPE,W_CDATA)/SUMPRODUCT(ISNUMBER(W_CDATA)*W_SM*W_INTYPE),""),"")</f>
        <v/>
      </c>
      <c r="W9" s="109" t="str">
        <f>IF(OR(SUMPRODUCT(($E$13:$E$87="Senior Management Involvement")*ISNUMBER(W13:W87)*($D$13:$D$87&lt;&gt;""))=0,NOT(ISNUMBER(W11))),"",SUMPRODUCT(($E$13:$E$87="Senior Management Involvement")*ISNUMBER(W13:W87)*($D$13:$D$87&lt;&gt;""),W13:W87)/SUMPRODUCT(($E$13:$E$87="Senior Management Involvement")*ISNUMBER(W13:W87)*($D$13:$D$87&lt;&gt;"")))</f>
        <v/>
      </c>
    </row>
    <row r="10" spans="1:23" s="150" customFormat="1" x14ac:dyDescent="0.2">
      <c r="A10" s="149"/>
      <c r="B10" s="154"/>
      <c r="C10" s="154"/>
      <c r="D10" s="149"/>
      <c r="E10" s="161"/>
      <c r="F10" s="149"/>
      <c r="G10" s="149"/>
      <c r="H10" s="149"/>
      <c r="I10" s="478" t="s">
        <v>434</v>
      </c>
      <c r="J10" s="479"/>
      <c r="K10" s="101" t="str">
        <f>IF(ISNUMBER(K$11),IFERROR(SUMPRODUCT(ISNUMBER(W_CDATA)*W_PM*W_INTYPE,W_CDATA)/SUMPRODUCT(ISNUMBER(W_CDATA)*W_PM*W_INTYPE),""),"")</f>
        <v/>
      </c>
      <c r="L10" s="101" t="str">
        <f>IF(ISNUMBER(L$11),IFERROR(SUMPRODUCT(ISNUMBER(W_CDATA)*W_PM*W_INTYPE,W_CDATA)/SUMPRODUCT(ISNUMBER(W_CDATA)*W_PM*W_INTYPE),""),"")</f>
        <v/>
      </c>
      <c r="M10" s="101" t="str">
        <f>IF(ISNUMBER(M$11),IFERROR(SUMPRODUCT(ISNUMBER(W_CDATA)*W_PM*W_INTYPE,W_CDATA)/SUMPRODUCT(ISNUMBER(W_CDATA)*W_PM*W_INTYPE),""),"")</f>
        <v/>
      </c>
      <c r="N10" s="101" t="str">
        <f>IF(ISNUMBER(N$11),IFERROR(SUMPRODUCT(ISNUMBER(W_CDATA)*W_PM*W_INTYPE,W_CDATA)/SUMPRODUCT(ISNUMBER(W_CDATA)*W_PM*W_INTYPE),""),"")</f>
        <v/>
      </c>
      <c r="O10" s="101" t="str">
        <f>IF(ISNUMBER(O$11),IFERROR(SUMPRODUCT(ISNUMBER(W_CDATA)*W_PM*W_INTYPE,W_CDATA)/SUMPRODUCT(ISNUMBER(W_CDATA)*W_PM*W_INTYPE),""),"")</f>
        <v/>
      </c>
      <c r="P10" s="101" t="str">
        <f>IF(ISNUMBER(P$11),IFERROR(SUMPRODUCT(ISNUMBER(W_CDATA)*W_PM*W_INTYPE,W_CDATA)/SUMPRODUCT(ISNUMBER(W_CDATA)*W_PM*W_INTYPE),""),"")</f>
        <v/>
      </c>
      <c r="Q10" s="101" t="str">
        <f>IF(ISNUMBER(Q$11),IFERROR(SUMPRODUCT(ISNUMBER(W_CDATA)*W_PM*W_INTYPE,W_CDATA)/SUMPRODUCT(ISNUMBER(W_CDATA)*W_PM*W_INTYPE),""),"")</f>
        <v/>
      </c>
      <c r="R10" s="101" t="str">
        <f>IF(ISNUMBER(R$11),IFERROR(SUMPRODUCT(ISNUMBER(W_CDATA)*W_PM*W_INTYPE,W_CDATA)/SUMPRODUCT(ISNUMBER(W_CDATA)*W_PM*W_INTYPE),""),"")</f>
        <v/>
      </c>
      <c r="S10" s="101" t="str">
        <f>IF(ISNUMBER(S$11),IFERROR(SUMPRODUCT(ISNUMBER(W_CDATA)*W_PM*W_INTYPE,W_CDATA)/SUMPRODUCT(ISNUMBER(W_CDATA)*W_PM*W_INTYPE),""),"")</f>
        <v/>
      </c>
      <c r="T10" s="101" t="str">
        <f>IF(ISNUMBER(T$11),IFERROR(SUMPRODUCT(ISNUMBER(W_CDATA)*W_PM*W_INTYPE,W_CDATA)/SUMPRODUCT(ISNUMBER(W_CDATA)*W_PM*W_INTYPE),""),"")</f>
        <v/>
      </c>
      <c r="U10" s="101" t="str">
        <f>IF(ISNUMBER(U$11),IFERROR(SUMPRODUCT(ISNUMBER(W_CDATA)*W_PM*W_INTYPE,W_CDATA)/SUMPRODUCT(ISNUMBER(W_CDATA)*W_PM*W_INTYPE),""),"")</f>
        <v/>
      </c>
      <c r="V10" s="101" t="str">
        <f>IF(ISNUMBER(V$11),IFERROR(SUMPRODUCT(ISNUMBER(W_CDATA)*W_PM*W_INTYPE,W_CDATA)/SUMPRODUCT(ISNUMBER(W_CDATA)*W_PM*W_INTYPE),""),"")</f>
        <v/>
      </c>
      <c r="W10" s="109" t="str">
        <f>IF(OR(SUMPRODUCT(($E$13:$E$87&lt;&gt;"Senior Management Involvement")*ISNUMBER(W13:W87)*($D$13:$D$87&lt;&gt;""))=0,NOT(ISNUMBER(W11))),"",SUMPRODUCT(($E$13:$E$87&lt;&gt;"Senior Management Involvement")*ISNUMBER(W13:W87)*($D$13:$D$87&lt;&gt;""),W13:W87)/SUMPRODUCT(($E$13:$E$87&lt;&gt;"Senior Management Involvement")*ISNUMBER(W13:W87)*($D$13:$D$87&lt;&gt;"")))</f>
        <v/>
      </c>
    </row>
    <row r="11" spans="1:23" x14ac:dyDescent="0.2">
      <c r="A11" s="162" t="s">
        <v>37</v>
      </c>
      <c r="B11" s="163"/>
      <c r="C11" s="163"/>
      <c r="D11" s="162"/>
      <c r="E11" s="162"/>
      <c r="F11" s="162"/>
      <c r="G11" s="175"/>
      <c r="H11" s="164"/>
      <c r="I11" s="478" t="s">
        <v>435</v>
      </c>
      <c r="J11" s="479"/>
      <c r="K11" s="114"/>
      <c r="L11" s="114"/>
      <c r="M11" s="114"/>
      <c r="N11" s="114"/>
      <c r="O11" s="114"/>
      <c r="P11" s="114"/>
      <c r="Q11" s="114"/>
      <c r="R11" s="114"/>
      <c r="S11" s="114"/>
      <c r="T11" s="114"/>
      <c r="U11" s="114"/>
      <c r="V11" s="114"/>
      <c r="W11" s="116"/>
    </row>
    <row r="12" spans="1:23" s="84" customFormat="1" ht="38.25" x14ac:dyDescent="0.2">
      <c r="A12" s="83" t="s">
        <v>126</v>
      </c>
      <c r="B12" s="83" t="str">
        <f>MacroFilter_ColumnName</f>
        <v>QuestionType</v>
      </c>
      <c r="C12" s="83" t="s">
        <v>653</v>
      </c>
      <c r="D12" s="83" t="s">
        <v>684</v>
      </c>
      <c r="E12" s="83" t="s">
        <v>299</v>
      </c>
      <c r="F12" s="83" t="s">
        <v>293</v>
      </c>
      <c r="G12" s="83" t="s">
        <v>343</v>
      </c>
      <c r="H12" s="83" t="s">
        <v>402</v>
      </c>
      <c r="I12" s="83" t="s">
        <v>267</v>
      </c>
      <c r="J12" s="83" t="s">
        <v>404</v>
      </c>
      <c r="K12" s="172">
        <f>IF(OR('Project Summary'!E$10="dd-mmm-yy",NOT(ISNUMBER('Project Summary'!E$10))),"dd-mmm-yy",'Project Summary'!E$10)</f>
        <v>42464</v>
      </c>
      <c r="L12" s="172">
        <f>IF(OR('Project Summary'!F$10="dd-mmm-yy",NOT(ISNUMBER('Project Summary'!F$10))),"dd-mmm-yy",'Project Summary'!F$10)</f>
        <v>42471</v>
      </c>
      <c r="M12" s="172">
        <f>IF(OR('Project Summary'!G$10="dd-mmm-yy",NOT(ISNUMBER('Project Summary'!G$10))),"dd-mmm-yy",'Project Summary'!G$10)</f>
        <v>42478</v>
      </c>
      <c r="N12" s="172">
        <f>IF(OR('Project Summary'!H$10="dd-mmm-yy",NOT(ISNUMBER('Project Summary'!H$10))),"dd-mmm-yy",'Project Summary'!H$10)</f>
        <v>42485</v>
      </c>
      <c r="O12" s="172">
        <f>IF(OR('Project Summary'!I$10="dd-mmm-yy",NOT(ISNUMBER('Project Summary'!I$10))),"dd-mmm-yy",'Project Summary'!I$10)</f>
        <v>42492</v>
      </c>
      <c r="P12" s="172">
        <f>IF(OR('Project Summary'!J$10="dd-mmm-yy",NOT(ISNUMBER('Project Summary'!J$10))),"dd-mmm-yy",'Project Summary'!J$10)</f>
        <v>42499</v>
      </c>
      <c r="Q12" s="172">
        <f>IF(OR('Project Summary'!K$10="dd-mmm-yy",NOT(ISNUMBER('Project Summary'!K$10))),"dd-mmm-yy",'Project Summary'!K$10)</f>
        <v>42506</v>
      </c>
      <c r="R12" s="172">
        <f>IF(OR('Project Summary'!L$10="dd-mmm-yy",NOT(ISNUMBER('Project Summary'!L$10))),"dd-mmm-yy",'Project Summary'!L$10)</f>
        <v>42513</v>
      </c>
      <c r="S12" s="172">
        <f>IF(OR('Project Summary'!M$10="dd-mmm-yy",NOT(ISNUMBER('Project Summary'!M$10))),"dd-mmm-yy",'Project Summary'!M$10)</f>
        <v>42520</v>
      </c>
      <c r="T12" s="172">
        <f>IF(OR('Project Summary'!N$10="dd-mmm-yy",NOT(ISNUMBER('Project Summary'!N$10))),"dd-mmm-yy",'Project Summary'!N$10)</f>
        <v>42527</v>
      </c>
      <c r="U12" s="172">
        <f>IF(OR('Project Summary'!O$10="dd-mmm-yy",NOT(ISNUMBER('Project Summary'!O$10))),"dd-mmm-yy",'Project Summary'!O$10)</f>
        <v>42534</v>
      </c>
      <c r="V12" s="172">
        <f>IF(OR('Project Summary'!P$10="dd-mmm-yy",NOT(ISNUMBER('Project Summary'!P$10))),"dd-mmm-yy",'Project Summary'!P$10)</f>
        <v>42541</v>
      </c>
      <c r="W12" s="83" t="s">
        <v>472</v>
      </c>
    </row>
    <row r="13" spans="1:23" s="341" customFormat="1" ht="63.75" x14ac:dyDescent="0.2">
      <c r="A13" s="338" t="s">
        <v>127</v>
      </c>
      <c r="B13" s="309" t="s">
        <v>533</v>
      </c>
      <c r="C13" s="339">
        <v>3</v>
      </c>
      <c r="D13" s="339" t="s">
        <v>651</v>
      </c>
      <c r="E13" s="338" t="s">
        <v>292</v>
      </c>
      <c r="F13" s="339" t="s">
        <v>820</v>
      </c>
      <c r="G13" s="339" t="s">
        <v>934</v>
      </c>
      <c r="H13" s="310"/>
      <c r="I13" s="340"/>
      <c r="J13" s="314" t="str">
        <f>IFERROR(SUMPRODUCT(ISNUMBER(W_CKDATE)*ISNUMBER(W_RDATA),W_RDATA)/SUMPRODUCT(ISNUMBER(W_CKDATE)*ISNUMBER(W_RDATA)),"")</f>
        <v/>
      </c>
      <c r="K13" s="315"/>
      <c r="L13" s="315"/>
      <c r="M13" s="315"/>
      <c r="N13" s="315"/>
      <c r="O13" s="315"/>
      <c r="P13" s="315"/>
      <c r="Q13" s="315"/>
      <c r="R13" s="315"/>
      <c r="S13" s="315"/>
      <c r="T13" s="315"/>
      <c r="U13" s="315"/>
      <c r="V13" s="315"/>
      <c r="W13" s="317"/>
    </row>
    <row r="14" spans="1:23" s="341" customFormat="1" ht="127.5" x14ac:dyDescent="0.2">
      <c r="A14" s="338" t="s">
        <v>128</v>
      </c>
      <c r="B14" s="309" t="s">
        <v>533</v>
      </c>
      <c r="C14" s="339">
        <v>3</v>
      </c>
      <c r="D14" s="339" t="s">
        <v>651</v>
      </c>
      <c r="E14" s="338" t="s">
        <v>292</v>
      </c>
      <c r="F14" s="339" t="s">
        <v>935</v>
      </c>
      <c r="G14" s="339" t="s">
        <v>807</v>
      </c>
      <c r="H14" s="342"/>
      <c r="I14" s="343"/>
      <c r="J14" s="314" t="str">
        <f>IFERROR(SUMPRODUCT(ISNUMBER(W_CKDATE)*ISNUMBER(W_RDATA),W_RDATA)/SUMPRODUCT(ISNUMBER(W_CKDATE)*ISNUMBER(W_RDATA)),"")</f>
        <v/>
      </c>
      <c r="K14" s="315"/>
      <c r="L14" s="315"/>
      <c r="M14" s="315"/>
      <c r="N14" s="315"/>
      <c r="O14" s="315"/>
      <c r="P14" s="315"/>
      <c r="Q14" s="315"/>
      <c r="R14" s="315"/>
      <c r="S14" s="315"/>
      <c r="T14" s="315"/>
      <c r="U14" s="315"/>
      <c r="V14" s="315"/>
      <c r="W14" s="317"/>
    </row>
    <row r="15" spans="1:23" s="341" customFormat="1" ht="25.5" x14ac:dyDescent="0.2">
      <c r="A15" s="338" t="s">
        <v>129</v>
      </c>
      <c r="B15" s="309" t="s">
        <v>533</v>
      </c>
      <c r="C15" s="339">
        <v>3</v>
      </c>
      <c r="D15" s="339" t="s">
        <v>651</v>
      </c>
      <c r="E15" s="338" t="s">
        <v>292</v>
      </c>
      <c r="F15" s="339" t="s">
        <v>821</v>
      </c>
      <c r="G15" s="339"/>
      <c r="H15" s="343"/>
      <c r="I15" s="343"/>
      <c r="J15" s="314" t="str">
        <f>IFERROR(SUMPRODUCT(ISNUMBER(W_CKDATE)*ISNUMBER(W_RDATA),W_RDATA)/SUMPRODUCT(ISNUMBER(W_CKDATE)*ISNUMBER(W_RDATA)),"")</f>
        <v/>
      </c>
      <c r="K15" s="315"/>
      <c r="L15" s="315"/>
      <c r="M15" s="315"/>
      <c r="N15" s="315"/>
      <c r="O15" s="315"/>
      <c r="P15" s="315"/>
      <c r="Q15" s="315"/>
      <c r="R15" s="315"/>
      <c r="S15" s="315"/>
      <c r="T15" s="315"/>
      <c r="U15" s="315"/>
      <c r="V15" s="315"/>
      <c r="W15" s="317"/>
    </row>
    <row r="16" spans="1:23" s="341" customFormat="1" ht="51" x14ac:dyDescent="0.2">
      <c r="A16" s="338" t="s">
        <v>130</v>
      </c>
      <c r="B16" s="309" t="s">
        <v>533</v>
      </c>
      <c r="C16" s="339">
        <v>3</v>
      </c>
      <c r="D16" s="339" t="s">
        <v>647</v>
      </c>
      <c r="E16" s="338" t="s">
        <v>331</v>
      </c>
      <c r="F16" s="339" t="s">
        <v>822</v>
      </c>
      <c r="G16" s="339" t="s">
        <v>6</v>
      </c>
      <c r="H16" s="343"/>
      <c r="I16" s="343"/>
      <c r="J16" s="314" t="str">
        <f>IFERROR(SUMPRODUCT(ISNUMBER(W_CKDATE)*ISNUMBER(W_RDATA),W_RDATA)/SUMPRODUCT(ISNUMBER(W_CKDATE)*ISNUMBER(W_RDATA)),"")</f>
        <v/>
      </c>
      <c r="K16" s="315"/>
      <c r="L16" s="315"/>
      <c r="M16" s="315"/>
      <c r="N16" s="315"/>
      <c r="O16" s="315"/>
      <c r="P16" s="315"/>
      <c r="Q16" s="315"/>
      <c r="R16" s="315"/>
      <c r="S16" s="315"/>
      <c r="T16" s="315"/>
      <c r="U16" s="315"/>
      <c r="V16" s="315"/>
      <c r="W16" s="317"/>
    </row>
    <row r="17" spans="1:23" s="341" customFormat="1" ht="127.5" x14ac:dyDescent="0.2">
      <c r="A17" s="338" t="s">
        <v>131</v>
      </c>
      <c r="B17" s="309" t="s">
        <v>533</v>
      </c>
      <c r="C17" s="339">
        <v>3</v>
      </c>
      <c r="D17" s="339" t="s">
        <v>647</v>
      </c>
      <c r="E17" s="338" t="s">
        <v>331</v>
      </c>
      <c r="F17" s="339" t="s">
        <v>808</v>
      </c>
      <c r="G17" s="339" t="s">
        <v>812</v>
      </c>
      <c r="H17" s="344"/>
      <c r="I17" s="343"/>
      <c r="J17" s="314" t="str">
        <f>IFERROR(SUMPRODUCT(ISNUMBER(W_CKDATE)*ISNUMBER(W_RDATA),W_RDATA)/SUMPRODUCT(ISNUMBER(W_CKDATE)*ISNUMBER(W_RDATA)),"")</f>
        <v/>
      </c>
      <c r="K17" s="315"/>
      <c r="L17" s="315"/>
      <c r="M17" s="315"/>
      <c r="N17" s="315"/>
      <c r="O17" s="315"/>
      <c r="P17" s="315"/>
      <c r="Q17" s="315"/>
      <c r="R17" s="315"/>
      <c r="S17" s="315"/>
      <c r="T17" s="315"/>
      <c r="U17" s="315"/>
      <c r="V17" s="315"/>
      <c r="W17" s="317"/>
    </row>
    <row r="18" spans="1:23" s="341" customFormat="1" ht="51" x14ac:dyDescent="0.2">
      <c r="A18" s="338" t="s">
        <v>132</v>
      </c>
      <c r="B18" s="309" t="s">
        <v>533</v>
      </c>
      <c r="C18" s="339">
        <v>3</v>
      </c>
      <c r="D18" s="339" t="s">
        <v>647</v>
      </c>
      <c r="E18" s="338" t="s">
        <v>331</v>
      </c>
      <c r="F18" s="339" t="s">
        <v>936</v>
      </c>
      <c r="G18" s="339" t="s">
        <v>321</v>
      </c>
      <c r="H18" s="343"/>
      <c r="I18" s="343"/>
      <c r="J18" s="314" t="str">
        <f>IFERROR(SUMPRODUCT(ISNUMBER(W_CKDATE)*ISNUMBER(W_RDATA),W_RDATA)/SUMPRODUCT(ISNUMBER(W_CKDATE)*ISNUMBER(W_RDATA)),"")</f>
        <v/>
      </c>
      <c r="K18" s="315"/>
      <c r="L18" s="315"/>
      <c r="M18" s="315"/>
      <c r="N18" s="315"/>
      <c r="O18" s="315"/>
      <c r="P18" s="315"/>
      <c r="Q18" s="315"/>
      <c r="R18" s="315"/>
      <c r="S18" s="315"/>
      <c r="T18" s="315"/>
      <c r="U18" s="315"/>
      <c r="V18" s="315"/>
      <c r="W18" s="317"/>
    </row>
    <row r="19" spans="1:23" s="341" customFormat="1" ht="25.5" x14ac:dyDescent="0.2">
      <c r="A19" s="338" t="s">
        <v>133</v>
      </c>
      <c r="B19" s="309" t="s">
        <v>533</v>
      </c>
      <c r="C19" s="339">
        <v>3</v>
      </c>
      <c r="D19" s="339" t="s">
        <v>647</v>
      </c>
      <c r="E19" s="338" t="s">
        <v>331</v>
      </c>
      <c r="F19" s="339" t="s">
        <v>823</v>
      </c>
      <c r="G19" s="339" t="s">
        <v>321</v>
      </c>
      <c r="H19" s="342"/>
      <c r="I19" s="343"/>
      <c r="J19" s="314" t="str">
        <f>IFERROR(SUMPRODUCT(ISNUMBER(W_CKDATE)*ISNUMBER(W_RDATA),W_RDATA)/SUMPRODUCT(ISNUMBER(W_CKDATE)*ISNUMBER(W_RDATA)),"")</f>
        <v/>
      </c>
      <c r="K19" s="315"/>
      <c r="L19" s="315"/>
      <c r="M19" s="315"/>
      <c r="N19" s="315"/>
      <c r="O19" s="315"/>
      <c r="P19" s="315"/>
      <c r="Q19" s="315"/>
      <c r="R19" s="315"/>
      <c r="S19" s="315"/>
      <c r="T19" s="315"/>
      <c r="U19" s="315"/>
      <c r="V19" s="315"/>
      <c r="W19" s="317"/>
    </row>
    <row r="20" spans="1:23" s="341" customFormat="1" ht="25.5" x14ac:dyDescent="0.2">
      <c r="A20" s="338" t="s">
        <v>134</v>
      </c>
      <c r="B20" s="309" t="s">
        <v>533</v>
      </c>
      <c r="C20" s="339">
        <v>3</v>
      </c>
      <c r="D20" s="339" t="s">
        <v>647</v>
      </c>
      <c r="E20" s="338" t="s">
        <v>331</v>
      </c>
      <c r="F20" s="339" t="s">
        <v>937</v>
      </c>
      <c r="G20" s="151"/>
      <c r="H20" s="343"/>
      <c r="I20" s="343"/>
      <c r="J20" s="314" t="str">
        <f>IFERROR(SUMPRODUCT(ISNUMBER(W_CKDATE)*ISNUMBER(W_RDATA),W_RDATA)/SUMPRODUCT(ISNUMBER(W_CKDATE)*ISNUMBER(W_RDATA)),"")</f>
        <v/>
      </c>
      <c r="K20" s="315"/>
      <c r="L20" s="315"/>
      <c r="M20" s="315"/>
      <c r="N20" s="315"/>
      <c r="O20" s="315"/>
      <c r="P20" s="315"/>
      <c r="Q20" s="315"/>
      <c r="R20" s="315"/>
      <c r="S20" s="315"/>
      <c r="T20" s="315"/>
      <c r="U20" s="315"/>
      <c r="V20" s="315"/>
      <c r="W20" s="317"/>
    </row>
    <row r="21" spans="1:23" s="341" customFormat="1" x14ac:dyDescent="0.2">
      <c r="A21" s="311" t="s">
        <v>135</v>
      </c>
      <c r="B21" s="309" t="s">
        <v>533</v>
      </c>
      <c r="C21" s="310">
        <v>3</v>
      </c>
      <c r="D21" s="310" t="s">
        <v>647</v>
      </c>
      <c r="E21" s="338" t="s">
        <v>331</v>
      </c>
      <c r="F21" s="310" t="s">
        <v>583</v>
      </c>
      <c r="G21" s="310"/>
      <c r="H21" s="343"/>
      <c r="I21" s="343"/>
      <c r="J21" s="314" t="str">
        <f>IFERROR(SUMPRODUCT(ISNUMBER(W_CKDATE)*ISNUMBER(W_RDATA),W_RDATA)/SUMPRODUCT(ISNUMBER(W_CKDATE)*ISNUMBER(W_RDATA)),"")</f>
        <v/>
      </c>
      <c r="K21" s="315"/>
      <c r="L21" s="315"/>
      <c r="M21" s="315"/>
      <c r="N21" s="315"/>
      <c r="O21" s="315"/>
      <c r="P21" s="315"/>
      <c r="Q21" s="315"/>
      <c r="R21" s="315"/>
      <c r="S21" s="315"/>
      <c r="T21" s="315"/>
      <c r="U21" s="315"/>
      <c r="V21" s="315"/>
      <c r="W21" s="317"/>
    </row>
    <row r="22" spans="1:23" s="341" customFormat="1" ht="63.75" x14ac:dyDescent="0.2">
      <c r="A22" s="338" t="s">
        <v>136</v>
      </c>
      <c r="B22" s="309" t="s">
        <v>533</v>
      </c>
      <c r="C22" s="339">
        <v>2</v>
      </c>
      <c r="D22" s="339" t="s">
        <v>284</v>
      </c>
      <c r="E22" s="338" t="s">
        <v>330</v>
      </c>
      <c r="F22" s="339" t="s">
        <v>824</v>
      </c>
      <c r="G22" s="339" t="s">
        <v>658</v>
      </c>
      <c r="H22" s="343"/>
      <c r="I22" s="343"/>
      <c r="J22" s="314" t="str">
        <f>IFERROR(SUMPRODUCT(ISNUMBER(W_CKDATE)*ISNUMBER(W_RDATA),W_RDATA)/SUMPRODUCT(ISNUMBER(W_CKDATE)*ISNUMBER(W_RDATA)),"")</f>
        <v/>
      </c>
      <c r="K22" s="315"/>
      <c r="L22" s="315"/>
      <c r="M22" s="315"/>
      <c r="N22" s="315"/>
      <c r="O22" s="315"/>
      <c r="P22" s="315"/>
      <c r="Q22" s="315"/>
      <c r="R22" s="315"/>
      <c r="S22" s="315"/>
      <c r="T22" s="315"/>
      <c r="U22" s="315"/>
      <c r="V22" s="315"/>
      <c r="W22" s="317"/>
    </row>
    <row r="23" spans="1:23" s="341" customFormat="1" ht="89.25" x14ac:dyDescent="0.2">
      <c r="A23" s="338" t="s">
        <v>137</v>
      </c>
      <c r="B23" s="309" t="s">
        <v>533</v>
      </c>
      <c r="C23" s="339">
        <v>2</v>
      </c>
      <c r="D23" s="339" t="s">
        <v>284</v>
      </c>
      <c r="E23" s="338" t="s">
        <v>330</v>
      </c>
      <c r="F23" s="339" t="s">
        <v>7</v>
      </c>
      <c r="G23" s="339" t="s">
        <v>825</v>
      </c>
      <c r="H23" s="343"/>
      <c r="I23" s="343"/>
      <c r="J23" s="314" t="str">
        <f>IFERROR(SUMPRODUCT(ISNUMBER(W_CKDATE)*ISNUMBER(W_RDATA),W_RDATA)/SUMPRODUCT(ISNUMBER(W_CKDATE)*ISNUMBER(W_RDATA)),"")</f>
        <v/>
      </c>
      <c r="K23" s="315"/>
      <c r="L23" s="315"/>
      <c r="M23" s="315"/>
      <c r="N23" s="315"/>
      <c r="O23" s="315"/>
      <c r="P23" s="315"/>
      <c r="Q23" s="315"/>
      <c r="R23" s="315"/>
      <c r="S23" s="315"/>
      <c r="T23" s="315"/>
      <c r="U23" s="315"/>
      <c r="V23" s="315"/>
      <c r="W23" s="317"/>
    </row>
    <row r="24" spans="1:23" s="341" customFormat="1" ht="76.5" x14ac:dyDescent="0.2">
      <c r="A24" s="338" t="s">
        <v>138</v>
      </c>
      <c r="B24" s="309" t="s">
        <v>535</v>
      </c>
      <c r="C24" s="339">
        <v>3</v>
      </c>
      <c r="D24" s="339" t="s">
        <v>286</v>
      </c>
      <c r="E24" s="338" t="s">
        <v>338</v>
      </c>
      <c r="F24" s="339" t="s">
        <v>826</v>
      </c>
      <c r="G24" s="339" t="s">
        <v>301</v>
      </c>
      <c r="H24" s="393" t="s">
        <v>1017</v>
      </c>
      <c r="I24" s="343"/>
      <c r="J24" s="314" t="str">
        <f>IFERROR(SUMPRODUCT(ISNUMBER(W_CKDATE)*ISNUMBER(W_RDATA),W_RDATA)/SUMPRODUCT(ISNUMBER(W_CKDATE)*ISNUMBER(W_RDATA)),"")</f>
        <v/>
      </c>
      <c r="K24" s="315"/>
      <c r="L24" s="315"/>
      <c r="M24" s="315"/>
      <c r="N24" s="315"/>
      <c r="O24" s="315"/>
      <c r="P24" s="315"/>
      <c r="Q24" s="315"/>
      <c r="R24" s="315"/>
      <c r="S24" s="315"/>
      <c r="T24" s="315"/>
      <c r="U24" s="315"/>
      <c r="V24" s="315"/>
      <c r="W24" s="317"/>
    </row>
    <row r="25" spans="1:23" s="341" customFormat="1" ht="25.5" x14ac:dyDescent="0.2">
      <c r="A25" s="338" t="s">
        <v>139</v>
      </c>
      <c r="B25" s="309" t="s">
        <v>535</v>
      </c>
      <c r="C25" s="339">
        <v>3</v>
      </c>
      <c r="D25" s="339" t="s">
        <v>286</v>
      </c>
      <c r="E25" s="338" t="s">
        <v>338</v>
      </c>
      <c r="F25" s="339" t="s">
        <v>8</v>
      </c>
      <c r="G25" s="339" t="s">
        <v>827</v>
      </c>
      <c r="H25" s="343"/>
      <c r="I25" s="343"/>
      <c r="J25" s="314" t="str">
        <f>IFERROR(SUMPRODUCT(ISNUMBER(W_CKDATE)*ISNUMBER(W_RDATA),W_RDATA)/SUMPRODUCT(ISNUMBER(W_CKDATE)*ISNUMBER(W_RDATA)),"")</f>
        <v/>
      </c>
      <c r="K25" s="315"/>
      <c r="L25" s="315"/>
      <c r="M25" s="315"/>
      <c r="N25" s="315"/>
      <c r="O25" s="315"/>
      <c r="P25" s="315"/>
      <c r="Q25" s="315"/>
      <c r="R25" s="315"/>
      <c r="S25" s="315"/>
      <c r="T25" s="315"/>
      <c r="U25" s="315"/>
      <c r="V25" s="315"/>
      <c r="W25" s="317"/>
    </row>
    <row r="26" spans="1:23" s="341" customFormat="1" ht="38.25" x14ac:dyDescent="0.2">
      <c r="A26" s="338" t="s">
        <v>140</v>
      </c>
      <c r="B26" s="309" t="s">
        <v>535</v>
      </c>
      <c r="C26" s="339">
        <v>3</v>
      </c>
      <c r="D26" s="339" t="s">
        <v>286</v>
      </c>
      <c r="E26" s="338" t="s">
        <v>338</v>
      </c>
      <c r="F26" s="339" t="s">
        <v>9</v>
      </c>
      <c r="G26" s="339" t="s">
        <v>827</v>
      </c>
      <c r="H26" s="343"/>
      <c r="I26" s="343"/>
      <c r="J26" s="314" t="str">
        <f>IFERROR(SUMPRODUCT(ISNUMBER(W_CKDATE)*ISNUMBER(W_RDATA),W_RDATA)/SUMPRODUCT(ISNUMBER(W_CKDATE)*ISNUMBER(W_RDATA)),"")</f>
        <v/>
      </c>
      <c r="K26" s="315"/>
      <c r="L26" s="315"/>
      <c r="M26" s="315"/>
      <c r="N26" s="315"/>
      <c r="O26" s="315"/>
      <c r="P26" s="315"/>
      <c r="Q26" s="315"/>
      <c r="R26" s="315"/>
      <c r="S26" s="315"/>
      <c r="T26" s="315"/>
      <c r="U26" s="315"/>
      <c r="V26" s="315"/>
      <c r="W26" s="317"/>
    </row>
    <row r="27" spans="1:23" s="395" customFormat="1" ht="96" customHeight="1" x14ac:dyDescent="0.2">
      <c r="A27" s="383" t="s">
        <v>141</v>
      </c>
      <c r="B27" s="378" t="s">
        <v>533</v>
      </c>
      <c r="C27" s="383">
        <v>3</v>
      </c>
      <c r="D27" s="383" t="s">
        <v>286</v>
      </c>
      <c r="E27" s="383" t="s">
        <v>338</v>
      </c>
      <c r="F27" s="383" t="s">
        <v>339</v>
      </c>
      <c r="G27" s="383" t="s">
        <v>301</v>
      </c>
      <c r="H27" s="394" t="s">
        <v>1035</v>
      </c>
      <c r="I27" s="383"/>
      <c r="J27" s="357"/>
      <c r="K27" s="357"/>
      <c r="L27" s="357"/>
      <c r="M27" s="357"/>
      <c r="N27" s="357"/>
      <c r="O27" s="357"/>
      <c r="P27" s="357"/>
      <c r="Q27" s="357"/>
      <c r="R27" s="357"/>
      <c r="S27" s="357"/>
      <c r="T27" s="357"/>
      <c r="U27" s="357"/>
      <c r="V27" s="357"/>
      <c r="W27" s="383"/>
    </row>
    <row r="28" spans="1:23" s="395" customFormat="1" x14ac:dyDescent="0.2">
      <c r="A28" s="383" t="s">
        <v>142</v>
      </c>
      <c r="B28" s="378" t="s">
        <v>533</v>
      </c>
      <c r="C28" s="383">
        <v>3</v>
      </c>
      <c r="D28" s="383" t="s">
        <v>286</v>
      </c>
      <c r="E28" s="383" t="s">
        <v>338</v>
      </c>
      <c r="F28" s="396" t="s">
        <v>44</v>
      </c>
      <c r="G28" s="383" t="s">
        <v>301</v>
      </c>
      <c r="H28" s="383"/>
      <c r="I28" s="383"/>
      <c r="J28" s="352" t="str">
        <f>IFERROR(SUMPRODUCT(ISNUMBER(W_CKDATE)*ISNUMBER(W_RDATA),W_RDATA)/SUMPRODUCT(ISNUMBER(W_CKDATE)*ISNUMBER(W_RDATA)),"")</f>
        <v/>
      </c>
      <c r="K28" s="357"/>
      <c r="L28" s="357"/>
      <c r="M28" s="357"/>
      <c r="N28" s="357"/>
      <c r="O28" s="357"/>
      <c r="P28" s="357"/>
      <c r="Q28" s="357"/>
      <c r="R28" s="357"/>
      <c r="S28" s="357"/>
      <c r="T28" s="357"/>
      <c r="U28" s="357"/>
      <c r="V28" s="357"/>
      <c r="W28" s="383"/>
    </row>
    <row r="29" spans="1:23" s="395" customFormat="1" x14ac:dyDescent="0.2">
      <c r="A29" s="383" t="s">
        <v>143</v>
      </c>
      <c r="B29" s="378" t="s">
        <v>534</v>
      </c>
      <c r="C29" s="383">
        <v>3</v>
      </c>
      <c r="D29" s="383" t="s">
        <v>286</v>
      </c>
      <c r="E29" s="383" t="s">
        <v>338</v>
      </c>
      <c r="F29" s="396" t="s">
        <v>45</v>
      </c>
      <c r="G29" s="383" t="s">
        <v>301</v>
      </c>
      <c r="H29" s="383"/>
      <c r="I29" s="383"/>
      <c r="J29" s="352" t="str">
        <f>IFERROR(SUMPRODUCT(ISNUMBER(W_CKDATE)*ISNUMBER(W_RDATA),W_RDATA)/SUMPRODUCT(ISNUMBER(W_CKDATE)*ISNUMBER(W_RDATA)),"")</f>
        <v/>
      </c>
      <c r="K29" s="357"/>
      <c r="L29" s="357"/>
      <c r="M29" s="357"/>
      <c r="N29" s="357"/>
      <c r="O29" s="357"/>
      <c r="P29" s="357"/>
      <c r="Q29" s="357"/>
      <c r="R29" s="357"/>
      <c r="S29" s="357"/>
      <c r="T29" s="357"/>
      <c r="U29" s="357"/>
      <c r="V29" s="357"/>
      <c r="W29" s="383"/>
    </row>
    <row r="30" spans="1:23" s="395" customFormat="1" x14ac:dyDescent="0.2">
      <c r="A30" s="383" t="s">
        <v>144</v>
      </c>
      <c r="B30" s="378" t="s">
        <v>534</v>
      </c>
      <c r="C30" s="383">
        <v>3</v>
      </c>
      <c r="D30" s="383" t="s">
        <v>286</v>
      </c>
      <c r="E30" s="383" t="s">
        <v>338</v>
      </c>
      <c r="F30" s="396" t="s">
        <v>46</v>
      </c>
      <c r="G30" s="383" t="s">
        <v>301</v>
      </c>
      <c r="H30" s="383"/>
      <c r="I30" s="383"/>
      <c r="J30" s="352" t="str">
        <f>IFERROR(SUMPRODUCT(ISNUMBER(W_CKDATE)*ISNUMBER(W_RDATA),W_RDATA)/SUMPRODUCT(ISNUMBER(W_CKDATE)*ISNUMBER(W_RDATA)),"")</f>
        <v/>
      </c>
      <c r="K30" s="357"/>
      <c r="L30" s="357"/>
      <c r="M30" s="357"/>
      <c r="N30" s="357"/>
      <c r="O30" s="357"/>
      <c r="P30" s="357"/>
      <c r="Q30" s="357"/>
      <c r="R30" s="357"/>
      <c r="S30" s="357"/>
      <c r="T30" s="357"/>
      <c r="U30" s="357"/>
      <c r="V30" s="357"/>
      <c r="W30" s="383"/>
    </row>
    <row r="31" spans="1:23" s="395" customFormat="1" x14ac:dyDescent="0.2">
      <c r="A31" s="383" t="s">
        <v>145</v>
      </c>
      <c r="B31" s="378" t="s">
        <v>535</v>
      </c>
      <c r="C31" s="383">
        <v>3</v>
      </c>
      <c r="D31" s="383" t="s">
        <v>286</v>
      </c>
      <c r="E31" s="383" t="s">
        <v>338</v>
      </c>
      <c r="F31" s="396" t="s">
        <v>47</v>
      </c>
      <c r="G31" s="383" t="s">
        <v>301</v>
      </c>
      <c r="H31" s="383"/>
      <c r="I31" s="383"/>
      <c r="J31" s="352" t="str">
        <f>IFERROR(SUMPRODUCT(ISNUMBER(W_CKDATE)*ISNUMBER(W_RDATA),W_RDATA)/SUMPRODUCT(ISNUMBER(W_CKDATE)*ISNUMBER(W_RDATA)),"")</f>
        <v/>
      </c>
      <c r="K31" s="357"/>
      <c r="L31" s="357"/>
      <c r="M31" s="357"/>
      <c r="N31" s="357"/>
      <c r="O31" s="357"/>
      <c r="P31" s="357"/>
      <c r="Q31" s="357"/>
      <c r="R31" s="357"/>
      <c r="S31" s="357"/>
      <c r="T31" s="357"/>
      <c r="U31" s="357"/>
      <c r="V31" s="357"/>
      <c r="W31" s="383"/>
    </row>
    <row r="32" spans="1:23" s="395" customFormat="1" ht="25.5" x14ac:dyDescent="0.2">
      <c r="A32" s="383" t="s">
        <v>146</v>
      </c>
      <c r="B32" s="378" t="s">
        <v>534</v>
      </c>
      <c r="C32" s="383">
        <v>3</v>
      </c>
      <c r="D32" s="383" t="s">
        <v>286</v>
      </c>
      <c r="E32" s="383" t="s">
        <v>338</v>
      </c>
      <c r="F32" s="396" t="s">
        <v>48</v>
      </c>
      <c r="G32" s="383" t="s">
        <v>301</v>
      </c>
      <c r="H32" s="383"/>
      <c r="I32" s="383"/>
      <c r="J32" s="352" t="str">
        <f>IFERROR(SUMPRODUCT(ISNUMBER(W_CKDATE)*ISNUMBER(W_RDATA),W_RDATA)/SUMPRODUCT(ISNUMBER(W_CKDATE)*ISNUMBER(W_RDATA)),"")</f>
        <v/>
      </c>
      <c r="K32" s="357"/>
      <c r="L32" s="357"/>
      <c r="M32" s="357"/>
      <c r="N32" s="357"/>
      <c r="O32" s="357"/>
      <c r="P32" s="357"/>
      <c r="Q32" s="357"/>
      <c r="R32" s="357"/>
      <c r="S32" s="357"/>
      <c r="T32" s="357"/>
      <c r="U32" s="357"/>
      <c r="V32" s="357"/>
      <c r="W32" s="383"/>
    </row>
    <row r="33" spans="1:23" s="395" customFormat="1" ht="25.5" x14ac:dyDescent="0.2">
      <c r="A33" s="383" t="s">
        <v>147</v>
      </c>
      <c r="B33" s="378" t="s">
        <v>533</v>
      </c>
      <c r="C33" s="383">
        <v>3</v>
      </c>
      <c r="D33" s="383" t="s">
        <v>647</v>
      </c>
      <c r="E33" s="383" t="s">
        <v>338</v>
      </c>
      <c r="F33" s="396" t="s">
        <v>259</v>
      </c>
      <c r="G33" s="383" t="s">
        <v>301</v>
      </c>
      <c r="H33" s="383"/>
      <c r="I33" s="383"/>
      <c r="J33" s="352" t="str">
        <f>IFERROR(SUMPRODUCT(ISNUMBER(W_CKDATE)*ISNUMBER(W_RDATA),W_RDATA)/SUMPRODUCT(ISNUMBER(W_CKDATE)*ISNUMBER(W_RDATA)),"")</f>
        <v/>
      </c>
      <c r="K33" s="357"/>
      <c r="L33" s="357"/>
      <c r="M33" s="357"/>
      <c r="N33" s="357"/>
      <c r="O33" s="357"/>
      <c r="P33" s="357"/>
      <c r="Q33" s="357"/>
      <c r="R33" s="357"/>
      <c r="S33" s="357"/>
      <c r="T33" s="357"/>
      <c r="U33" s="357"/>
      <c r="V33" s="357"/>
      <c r="W33" s="383"/>
    </row>
    <row r="34" spans="1:23" s="341" customFormat="1" ht="165.75" x14ac:dyDescent="0.2">
      <c r="A34" s="343" t="s">
        <v>148</v>
      </c>
      <c r="B34" s="309" t="s">
        <v>535</v>
      </c>
      <c r="C34" s="339">
        <v>2</v>
      </c>
      <c r="D34" s="339" t="s">
        <v>650</v>
      </c>
      <c r="E34" s="343" t="s">
        <v>338</v>
      </c>
      <c r="F34" s="339" t="s">
        <v>828</v>
      </c>
      <c r="G34" s="339" t="s">
        <v>373</v>
      </c>
      <c r="H34" s="397" t="s">
        <v>1036</v>
      </c>
      <c r="I34" s="343"/>
      <c r="J34" s="314" t="str">
        <f>IFERROR(SUMPRODUCT(ISNUMBER(W_CKDATE)*ISNUMBER(W_RDATA),W_RDATA)/SUMPRODUCT(ISNUMBER(W_CKDATE)*ISNUMBER(W_RDATA)),"")</f>
        <v/>
      </c>
      <c r="K34" s="315"/>
      <c r="L34" s="315"/>
      <c r="M34" s="315"/>
      <c r="N34" s="315"/>
      <c r="O34" s="315"/>
      <c r="P34" s="315"/>
      <c r="Q34" s="315"/>
      <c r="R34" s="315"/>
      <c r="S34" s="315"/>
      <c r="T34" s="315"/>
      <c r="U34" s="315"/>
      <c r="V34" s="315"/>
      <c r="W34" s="317"/>
    </row>
    <row r="35" spans="1:23" s="341" customFormat="1" ht="25.5" x14ac:dyDescent="0.2">
      <c r="A35" s="343" t="s">
        <v>149</v>
      </c>
      <c r="B35" s="309" t="s">
        <v>535</v>
      </c>
      <c r="C35" s="339">
        <v>3</v>
      </c>
      <c r="D35" s="339" t="s">
        <v>286</v>
      </c>
      <c r="E35" s="343" t="s">
        <v>338</v>
      </c>
      <c r="F35" s="339" t="s">
        <v>829</v>
      </c>
      <c r="G35" s="339" t="s">
        <v>373</v>
      </c>
      <c r="H35" s="343"/>
      <c r="I35" s="343"/>
      <c r="J35" s="314" t="str">
        <f>IFERROR(SUMPRODUCT(ISNUMBER(W_CKDATE)*ISNUMBER(W_RDATA),W_RDATA)/SUMPRODUCT(ISNUMBER(W_CKDATE)*ISNUMBER(W_RDATA)),"")</f>
        <v/>
      </c>
      <c r="K35" s="315"/>
      <c r="L35" s="315"/>
      <c r="M35" s="315"/>
      <c r="N35" s="315"/>
      <c r="O35" s="315"/>
      <c r="P35" s="315"/>
      <c r="Q35" s="315"/>
      <c r="R35" s="315"/>
      <c r="S35" s="315"/>
      <c r="T35" s="315"/>
      <c r="U35" s="315"/>
      <c r="V35" s="315"/>
      <c r="W35" s="317"/>
    </row>
    <row r="36" spans="1:23" s="341" customFormat="1" ht="140.25" x14ac:dyDescent="0.2">
      <c r="A36" s="343" t="s">
        <v>150</v>
      </c>
      <c r="B36" s="309" t="s">
        <v>533</v>
      </c>
      <c r="C36" s="339">
        <v>2</v>
      </c>
      <c r="D36" s="339" t="s">
        <v>380</v>
      </c>
      <c r="E36" s="343" t="s">
        <v>405</v>
      </c>
      <c r="F36" s="339" t="s">
        <v>813</v>
      </c>
      <c r="G36" s="339" t="s">
        <v>256</v>
      </c>
      <c r="H36" s="343"/>
      <c r="I36" s="343"/>
      <c r="J36" s="314" t="str">
        <f>IFERROR(SUMPRODUCT(ISNUMBER(W_CKDATE)*ISNUMBER(W_RDATA),W_RDATA)/SUMPRODUCT(ISNUMBER(W_CKDATE)*ISNUMBER(W_RDATA)),"")</f>
        <v/>
      </c>
      <c r="K36" s="315"/>
      <c r="L36" s="315"/>
      <c r="M36" s="315"/>
      <c r="N36" s="315"/>
      <c r="O36" s="315"/>
      <c r="P36" s="315"/>
      <c r="Q36" s="315"/>
      <c r="R36" s="315"/>
      <c r="S36" s="315"/>
      <c r="T36" s="315"/>
      <c r="U36" s="315"/>
      <c r="V36" s="315"/>
      <c r="W36" s="317"/>
    </row>
    <row r="37" spans="1:23" s="341" customFormat="1" ht="114.75" x14ac:dyDescent="0.2">
      <c r="A37" s="338" t="s">
        <v>151</v>
      </c>
      <c r="B37" s="309" t="s">
        <v>533</v>
      </c>
      <c r="C37" s="339">
        <v>2</v>
      </c>
      <c r="D37" s="339" t="s">
        <v>380</v>
      </c>
      <c r="E37" s="338" t="s">
        <v>406</v>
      </c>
      <c r="F37" s="339" t="s">
        <v>814</v>
      </c>
      <c r="G37" s="339" t="s">
        <v>439</v>
      </c>
      <c r="H37" s="343"/>
      <c r="I37" s="343"/>
      <c r="J37" s="314" t="str">
        <f>IFERROR(SUMPRODUCT(ISNUMBER(W_CKDATE)*ISNUMBER(W_RDATA),W_RDATA)/SUMPRODUCT(ISNUMBER(W_CKDATE)*ISNUMBER(W_RDATA)),"")</f>
        <v/>
      </c>
      <c r="K37" s="315"/>
      <c r="L37" s="315"/>
      <c r="M37" s="315"/>
      <c r="N37" s="315"/>
      <c r="O37" s="315"/>
      <c r="P37" s="315"/>
      <c r="Q37" s="315"/>
      <c r="R37" s="315"/>
      <c r="S37" s="315"/>
      <c r="T37" s="315"/>
      <c r="U37" s="315"/>
      <c r="V37" s="315"/>
      <c r="W37" s="317"/>
    </row>
    <row r="38" spans="1:23" s="341" customFormat="1" ht="102" x14ac:dyDescent="0.2">
      <c r="A38" s="338" t="s">
        <v>152</v>
      </c>
      <c r="B38" s="309" t="s">
        <v>535</v>
      </c>
      <c r="C38" s="339">
        <v>3</v>
      </c>
      <c r="D38" s="339" t="s">
        <v>286</v>
      </c>
      <c r="E38" s="338" t="s">
        <v>338</v>
      </c>
      <c r="F38" s="339" t="s">
        <v>815</v>
      </c>
      <c r="G38" s="339" t="s">
        <v>816</v>
      </c>
      <c r="H38" s="393" t="s">
        <v>1040</v>
      </c>
      <c r="I38" s="343"/>
      <c r="J38" s="314" t="str">
        <f>IFERROR(SUMPRODUCT(ISNUMBER(W_CKDATE)*ISNUMBER(W_RDATA),W_RDATA)/SUMPRODUCT(ISNUMBER(W_CKDATE)*ISNUMBER(W_RDATA)),"")</f>
        <v/>
      </c>
      <c r="K38" s="315"/>
      <c r="L38" s="315"/>
      <c r="M38" s="315"/>
      <c r="N38" s="315"/>
      <c r="O38" s="315"/>
      <c r="P38" s="315"/>
      <c r="Q38" s="315"/>
      <c r="R38" s="315"/>
      <c r="S38" s="315"/>
      <c r="T38" s="315"/>
      <c r="U38" s="315"/>
      <c r="V38" s="315"/>
      <c r="W38" s="317"/>
    </row>
    <row r="39" spans="1:23" s="341" customFormat="1" ht="114.75" x14ac:dyDescent="0.2">
      <c r="A39" s="338" t="s">
        <v>70</v>
      </c>
      <c r="B39" s="309" t="s">
        <v>534</v>
      </c>
      <c r="C39" s="339">
        <v>3</v>
      </c>
      <c r="D39" s="339" t="s">
        <v>286</v>
      </c>
      <c r="E39" s="338" t="s">
        <v>10</v>
      </c>
      <c r="F39" s="339" t="s">
        <v>817</v>
      </c>
      <c r="G39" s="339" t="s">
        <v>818</v>
      </c>
      <c r="H39" s="392" t="s">
        <v>1041</v>
      </c>
      <c r="I39" s="343"/>
      <c r="J39" s="314" t="str">
        <f>IFERROR(SUMPRODUCT(ISNUMBER(W_CKDATE)*ISNUMBER(W_RDATA),W_RDATA)/SUMPRODUCT(ISNUMBER(W_CKDATE)*ISNUMBER(W_RDATA)),"")</f>
        <v/>
      </c>
      <c r="K39" s="315"/>
      <c r="L39" s="315"/>
      <c r="M39" s="315"/>
      <c r="N39" s="315"/>
      <c r="O39" s="315"/>
      <c r="P39" s="315"/>
      <c r="Q39" s="315"/>
      <c r="R39" s="315"/>
      <c r="S39" s="315"/>
      <c r="T39" s="315"/>
      <c r="U39" s="315"/>
      <c r="V39" s="315"/>
      <c r="W39" s="317"/>
    </row>
    <row r="40" spans="1:23" s="341" customFormat="1" ht="242.25" x14ac:dyDescent="0.2">
      <c r="A40" s="343" t="s">
        <v>71</v>
      </c>
      <c r="B40" s="309" t="s">
        <v>533</v>
      </c>
      <c r="C40" s="339">
        <v>3</v>
      </c>
      <c r="D40" s="339" t="s">
        <v>647</v>
      </c>
      <c r="E40" s="343" t="s">
        <v>333</v>
      </c>
      <c r="F40" s="339" t="s">
        <v>334</v>
      </c>
      <c r="G40" s="339" t="s">
        <v>610</v>
      </c>
      <c r="H40" s="343"/>
      <c r="I40" s="343"/>
      <c r="J40" s="314" t="str">
        <f>IFERROR(SUMPRODUCT(ISNUMBER(W_CKDATE)*ISNUMBER(W_RDATA),W_RDATA)/SUMPRODUCT(ISNUMBER(W_CKDATE)*ISNUMBER(W_RDATA)),"")</f>
        <v/>
      </c>
      <c r="K40" s="315"/>
      <c r="L40" s="315"/>
      <c r="M40" s="315"/>
      <c r="N40" s="315"/>
      <c r="O40" s="315"/>
      <c r="P40" s="315"/>
      <c r="Q40" s="315"/>
      <c r="R40" s="315"/>
      <c r="S40" s="315"/>
      <c r="T40" s="315"/>
      <c r="U40" s="315"/>
      <c r="V40" s="315"/>
      <c r="W40" s="317"/>
    </row>
    <row r="41" spans="1:23" s="341" customFormat="1" ht="38.25" x14ac:dyDescent="0.2">
      <c r="A41" s="343" t="s">
        <v>372</v>
      </c>
      <c r="B41" s="309" t="s">
        <v>533</v>
      </c>
      <c r="C41" s="339">
        <v>3</v>
      </c>
      <c r="D41" s="339" t="s">
        <v>647</v>
      </c>
      <c r="E41" s="343" t="s">
        <v>333</v>
      </c>
      <c r="F41" s="339" t="s">
        <v>830</v>
      </c>
      <c r="G41" s="339" t="s">
        <v>336</v>
      </c>
      <c r="H41" s="343"/>
      <c r="I41" s="343"/>
      <c r="J41" s="314" t="str">
        <f>IFERROR(SUMPRODUCT(ISNUMBER(W_CKDATE)*ISNUMBER(W_RDATA),W_RDATA)/SUMPRODUCT(ISNUMBER(W_CKDATE)*ISNUMBER(W_RDATA)),"")</f>
        <v/>
      </c>
      <c r="K41" s="315"/>
      <c r="L41" s="315"/>
      <c r="M41" s="315"/>
      <c r="N41" s="315"/>
      <c r="O41" s="315"/>
      <c r="P41" s="315"/>
      <c r="Q41" s="315"/>
      <c r="R41" s="315"/>
      <c r="S41" s="315"/>
      <c r="T41" s="315"/>
      <c r="U41" s="315"/>
      <c r="V41" s="315"/>
      <c r="W41" s="317"/>
    </row>
    <row r="42" spans="1:23" s="341" customFormat="1" ht="25.5" x14ac:dyDescent="0.2">
      <c r="A42" s="343" t="s">
        <v>374</v>
      </c>
      <c r="B42" s="309" t="s">
        <v>533</v>
      </c>
      <c r="C42" s="339">
        <v>2</v>
      </c>
      <c r="D42" s="339" t="s">
        <v>647</v>
      </c>
      <c r="E42" s="343" t="s">
        <v>333</v>
      </c>
      <c r="F42" s="339" t="s">
        <v>831</v>
      </c>
      <c r="G42" s="339"/>
      <c r="H42" s="343"/>
      <c r="I42" s="343"/>
      <c r="J42" s="314" t="str">
        <f>IFERROR(SUMPRODUCT(ISNUMBER(W_CKDATE)*ISNUMBER(W_RDATA),W_RDATA)/SUMPRODUCT(ISNUMBER(W_CKDATE)*ISNUMBER(W_RDATA)),"")</f>
        <v/>
      </c>
      <c r="K42" s="315"/>
      <c r="L42" s="315"/>
      <c r="M42" s="315"/>
      <c r="N42" s="315"/>
      <c r="O42" s="315"/>
      <c r="P42" s="315"/>
      <c r="Q42" s="315"/>
      <c r="R42" s="315"/>
      <c r="S42" s="315"/>
      <c r="T42" s="315"/>
      <c r="U42" s="315"/>
      <c r="V42" s="315"/>
      <c r="W42" s="317"/>
    </row>
    <row r="43" spans="1:23" s="341" customFormat="1" ht="51" x14ac:dyDescent="0.2">
      <c r="A43" s="343" t="s">
        <v>260</v>
      </c>
      <c r="B43" s="309" t="s">
        <v>533</v>
      </c>
      <c r="C43" s="339">
        <v>3</v>
      </c>
      <c r="D43" s="339" t="s">
        <v>647</v>
      </c>
      <c r="E43" s="343" t="s">
        <v>333</v>
      </c>
      <c r="F43" s="339" t="s">
        <v>832</v>
      </c>
      <c r="G43" s="339" t="s">
        <v>809</v>
      </c>
      <c r="H43" s="343"/>
      <c r="I43" s="343"/>
      <c r="J43" s="314" t="str">
        <f>IFERROR(SUMPRODUCT(ISNUMBER(W_CKDATE)*ISNUMBER(W_RDATA),W_RDATA)/SUMPRODUCT(ISNUMBER(W_CKDATE)*ISNUMBER(W_RDATA)),"")</f>
        <v/>
      </c>
      <c r="K43" s="315"/>
      <c r="L43" s="315"/>
      <c r="M43" s="315"/>
      <c r="N43" s="315"/>
      <c r="O43" s="315"/>
      <c r="P43" s="315"/>
      <c r="Q43" s="315"/>
      <c r="R43" s="315"/>
      <c r="S43" s="315"/>
      <c r="T43" s="315"/>
      <c r="U43" s="315"/>
      <c r="V43" s="315"/>
      <c r="W43" s="317"/>
    </row>
    <row r="44" spans="1:23" s="341" customFormat="1" ht="76.5" x14ac:dyDescent="0.2">
      <c r="A44" s="343" t="s">
        <v>12</v>
      </c>
      <c r="B44" s="309" t="s">
        <v>533</v>
      </c>
      <c r="C44" s="339"/>
      <c r="D44" s="339" t="s">
        <v>970</v>
      </c>
      <c r="E44" s="343" t="s">
        <v>335</v>
      </c>
      <c r="F44" s="339" t="s">
        <v>833</v>
      </c>
      <c r="G44" s="339" t="s">
        <v>43</v>
      </c>
      <c r="H44" s="398" t="s">
        <v>1042</v>
      </c>
      <c r="I44" s="340"/>
      <c r="J44" s="314" t="str">
        <f>IFERROR(SUMPRODUCT(ISNUMBER(W_CKDATE)*ISNUMBER(W_RDATA),W_RDATA)/SUMPRODUCT(ISNUMBER(W_CKDATE)*ISNUMBER(W_RDATA)),"")</f>
        <v/>
      </c>
      <c r="K44" s="315"/>
      <c r="L44" s="315"/>
      <c r="M44" s="315"/>
      <c r="N44" s="315"/>
      <c r="O44" s="315"/>
      <c r="P44" s="315"/>
      <c r="Q44" s="315"/>
      <c r="R44" s="315"/>
      <c r="S44" s="315"/>
      <c r="T44" s="315"/>
      <c r="U44" s="315"/>
      <c r="V44" s="315"/>
      <c r="W44" s="317"/>
    </row>
    <row r="45" spans="1:23" s="347" customFormat="1" ht="38.25" x14ac:dyDescent="0.2">
      <c r="A45" s="344" t="s">
        <v>515</v>
      </c>
      <c r="B45" s="309" t="s">
        <v>533</v>
      </c>
      <c r="C45" s="339">
        <v>3</v>
      </c>
      <c r="D45" s="339" t="s">
        <v>647</v>
      </c>
      <c r="E45" s="309" t="s">
        <v>290</v>
      </c>
      <c r="F45" s="310" t="s">
        <v>834</v>
      </c>
      <c r="G45" s="310" t="s">
        <v>493</v>
      </c>
      <c r="H45" s="345"/>
      <c r="I45" s="346"/>
      <c r="J45" s="314" t="str">
        <f>IFERROR(SUMPRODUCT(ISNUMBER(W_CKDATE)*ISNUMBER(W_RDATA),W_RDATA)/SUMPRODUCT(ISNUMBER(W_CKDATE)*ISNUMBER(W_RDATA)),"")</f>
        <v/>
      </c>
      <c r="K45" s="315"/>
      <c r="L45" s="315"/>
      <c r="M45" s="315"/>
      <c r="N45" s="315"/>
      <c r="O45" s="315"/>
      <c r="P45" s="315"/>
      <c r="Q45" s="315"/>
      <c r="R45" s="315"/>
      <c r="S45" s="315"/>
      <c r="T45" s="315"/>
      <c r="U45" s="315"/>
      <c r="V45" s="315"/>
      <c r="W45" s="317"/>
    </row>
    <row r="46" spans="1:23" s="347" customFormat="1" ht="76.5" x14ac:dyDescent="0.2">
      <c r="A46" s="344" t="s">
        <v>516</v>
      </c>
      <c r="B46" s="309" t="s">
        <v>533</v>
      </c>
      <c r="C46" s="339">
        <v>3</v>
      </c>
      <c r="D46" s="339" t="s">
        <v>647</v>
      </c>
      <c r="E46" s="309" t="s">
        <v>290</v>
      </c>
      <c r="F46" s="310" t="s">
        <v>492</v>
      </c>
      <c r="G46" s="310" t="s">
        <v>938</v>
      </c>
      <c r="H46" s="309"/>
      <c r="I46" s="346"/>
      <c r="J46" s="314" t="str">
        <f>IFERROR(SUMPRODUCT(ISNUMBER(W_CKDATE)*ISNUMBER(W_RDATA),W_RDATA)/SUMPRODUCT(ISNUMBER(W_CKDATE)*ISNUMBER(W_RDATA)),"")</f>
        <v/>
      </c>
      <c r="K46" s="315"/>
      <c r="L46" s="315"/>
      <c r="M46" s="315"/>
      <c r="N46" s="315"/>
      <c r="O46" s="315"/>
      <c r="P46" s="315"/>
      <c r="Q46" s="315"/>
      <c r="R46" s="315"/>
      <c r="S46" s="315"/>
      <c r="T46" s="315"/>
      <c r="U46" s="315"/>
      <c r="V46" s="315"/>
      <c r="W46" s="317"/>
    </row>
    <row r="47" spans="1:23" s="347" customFormat="1" ht="89.25" x14ac:dyDescent="0.2">
      <c r="A47" s="344" t="s">
        <v>517</v>
      </c>
      <c r="B47" s="309" t="s">
        <v>533</v>
      </c>
      <c r="C47" s="339">
        <v>3</v>
      </c>
      <c r="D47" s="339" t="s">
        <v>647</v>
      </c>
      <c r="E47" s="309" t="s">
        <v>290</v>
      </c>
      <c r="F47" s="310" t="s">
        <v>835</v>
      </c>
      <c r="G47" s="310" t="s">
        <v>819</v>
      </c>
      <c r="H47" s="345"/>
      <c r="I47" s="346"/>
      <c r="J47" s="314" t="str">
        <f>IFERROR(SUMPRODUCT(ISNUMBER(W_CKDATE)*ISNUMBER(W_RDATA),W_RDATA)/SUMPRODUCT(ISNUMBER(W_CKDATE)*ISNUMBER(W_RDATA)),"")</f>
        <v/>
      </c>
      <c r="K47" s="315"/>
      <c r="L47" s="315"/>
      <c r="M47" s="315"/>
      <c r="N47" s="315"/>
      <c r="O47" s="315"/>
      <c r="P47" s="315"/>
      <c r="Q47" s="315"/>
      <c r="R47" s="315"/>
      <c r="S47" s="315"/>
      <c r="T47" s="315"/>
      <c r="U47" s="315"/>
      <c r="V47" s="315"/>
      <c r="W47" s="317"/>
    </row>
    <row r="48" spans="1:23" s="347" customFormat="1" ht="25.5" x14ac:dyDescent="0.2">
      <c r="A48" s="344" t="s">
        <v>518</v>
      </c>
      <c r="B48" s="309" t="s">
        <v>533</v>
      </c>
      <c r="C48" s="339">
        <v>3</v>
      </c>
      <c r="D48" s="339" t="s">
        <v>647</v>
      </c>
      <c r="E48" s="309" t="s">
        <v>494</v>
      </c>
      <c r="F48" s="310" t="s">
        <v>939</v>
      </c>
      <c r="G48" s="310"/>
      <c r="H48" s="309"/>
      <c r="I48" s="346"/>
      <c r="J48" s="314" t="str">
        <f>IFERROR(SUMPRODUCT(ISNUMBER(W_CKDATE)*ISNUMBER(W_RDATA),W_RDATA)/SUMPRODUCT(ISNUMBER(W_CKDATE)*ISNUMBER(W_RDATA)),"")</f>
        <v/>
      </c>
      <c r="K48" s="315"/>
      <c r="L48" s="315"/>
      <c r="M48" s="315"/>
      <c r="N48" s="315"/>
      <c r="O48" s="315"/>
      <c r="P48" s="315"/>
      <c r="Q48" s="315"/>
      <c r="R48" s="315"/>
      <c r="S48" s="315"/>
      <c r="T48" s="315"/>
      <c r="U48" s="315"/>
      <c r="V48" s="315"/>
      <c r="W48" s="317"/>
    </row>
    <row r="49" spans="1:23" s="347" customFormat="1" ht="89.25" x14ac:dyDescent="0.2">
      <c r="A49" s="344" t="s">
        <v>519</v>
      </c>
      <c r="B49" s="309" t="s">
        <v>533</v>
      </c>
      <c r="C49" s="339">
        <v>3</v>
      </c>
      <c r="D49" s="339" t="s">
        <v>647</v>
      </c>
      <c r="E49" s="309" t="s">
        <v>290</v>
      </c>
      <c r="F49" s="310" t="s">
        <v>605</v>
      </c>
      <c r="G49" s="310" t="s">
        <v>940</v>
      </c>
      <c r="H49" s="309"/>
      <c r="I49" s="346"/>
      <c r="J49" s="314" t="str">
        <f>IFERROR(SUMPRODUCT(ISNUMBER(W_CKDATE)*ISNUMBER(W_RDATA),W_RDATA)/SUMPRODUCT(ISNUMBER(W_CKDATE)*ISNUMBER(W_RDATA)),"")</f>
        <v/>
      </c>
      <c r="K49" s="315"/>
      <c r="L49" s="315"/>
      <c r="M49" s="315"/>
      <c r="N49" s="315"/>
      <c r="O49" s="315"/>
      <c r="P49" s="315"/>
      <c r="Q49" s="315"/>
      <c r="R49" s="315"/>
      <c r="S49" s="315"/>
      <c r="T49" s="315"/>
      <c r="U49" s="315"/>
      <c r="V49" s="315"/>
      <c r="W49" s="317"/>
    </row>
    <row r="50" spans="1:23" s="347" customFormat="1" ht="114.75" x14ac:dyDescent="0.2">
      <c r="A50" s="344" t="s">
        <v>520</v>
      </c>
      <c r="B50" s="309" t="s">
        <v>533</v>
      </c>
      <c r="C50" s="339">
        <v>2</v>
      </c>
      <c r="D50" s="339" t="s">
        <v>647</v>
      </c>
      <c r="E50" s="309" t="s">
        <v>290</v>
      </c>
      <c r="F50" s="310" t="s">
        <v>941</v>
      </c>
      <c r="G50" s="310" t="s">
        <v>942</v>
      </c>
      <c r="H50" s="309"/>
      <c r="I50" s="346"/>
      <c r="J50" s="314" t="str">
        <f>IFERROR(SUMPRODUCT(ISNUMBER(W_CKDATE)*ISNUMBER(W_RDATA),W_RDATA)/SUMPRODUCT(ISNUMBER(W_CKDATE)*ISNUMBER(W_RDATA)),"")</f>
        <v/>
      </c>
      <c r="K50" s="315"/>
      <c r="L50" s="315"/>
      <c r="M50" s="315"/>
      <c r="N50" s="315"/>
      <c r="O50" s="315"/>
      <c r="P50" s="315"/>
      <c r="Q50" s="315"/>
      <c r="R50" s="315"/>
      <c r="S50" s="315"/>
      <c r="T50" s="315"/>
      <c r="U50" s="315"/>
      <c r="V50" s="315"/>
      <c r="W50" s="317"/>
    </row>
    <row r="51" spans="1:23" s="395" customFormat="1" ht="25.5" x14ac:dyDescent="0.2">
      <c r="A51" s="383" t="s">
        <v>521</v>
      </c>
      <c r="B51" s="378" t="s">
        <v>535</v>
      </c>
      <c r="C51" s="383">
        <v>2</v>
      </c>
      <c r="D51" s="383" t="s">
        <v>285</v>
      </c>
      <c r="E51" s="378" t="s">
        <v>290</v>
      </c>
      <c r="F51" s="383" t="s">
        <v>836</v>
      </c>
      <c r="G51" s="383" t="s">
        <v>570</v>
      </c>
      <c r="H51" s="380" t="s">
        <v>1043</v>
      </c>
      <c r="I51" s="399"/>
      <c r="J51" s="352" t="str">
        <f>IFERROR(SUMPRODUCT(ISNUMBER(W_CKDATE)*ISNUMBER(W_RDATA),W_RDATA)/SUMPRODUCT(ISNUMBER(W_CKDATE)*ISNUMBER(W_RDATA)),"")</f>
        <v/>
      </c>
      <c r="K51" s="357"/>
      <c r="L51" s="357"/>
      <c r="M51" s="357"/>
      <c r="N51" s="357"/>
      <c r="O51" s="357"/>
      <c r="P51" s="357"/>
      <c r="Q51" s="357"/>
      <c r="R51" s="357"/>
      <c r="S51" s="357"/>
      <c r="T51" s="357"/>
      <c r="U51" s="357"/>
      <c r="V51" s="357"/>
      <c r="W51" s="383"/>
    </row>
    <row r="52" spans="1:23" s="395" customFormat="1" ht="25.5" x14ac:dyDescent="0.2">
      <c r="A52" s="383" t="s">
        <v>522</v>
      </c>
      <c r="B52" s="378" t="s">
        <v>533</v>
      </c>
      <c r="C52" s="383">
        <v>3</v>
      </c>
      <c r="D52" s="383" t="s">
        <v>647</v>
      </c>
      <c r="E52" s="378" t="s">
        <v>290</v>
      </c>
      <c r="F52" s="400" t="s">
        <v>943</v>
      </c>
      <c r="G52" s="378" t="s">
        <v>271</v>
      </c>
      <c r="H52" s="380" t="s">
        <v>1044</v>
      </c>
      <c r="I52" s="399"/>
      <c r="J52" s="357"/>
      <c r="K52" s="357"/>
      <c r="L52" s="357"/>
      <c r="M52" s="357"/>
      <c r="N52" s="357"/>
      <c r="O52" s="357"/>
      <c r="P52" s="357"/>
      <c r="Q52" s="357"/>
      <c r="R52" s="357"/>
      <c r="S52" s="357"/>
      <c r="T52" s="357"/>
      <c r="U52" s="357"/>
      <c r="V52" s="357"/>
      <c r="W52" s="383"/>
    </row>
    <row r="53" spans="1:23" s="395" customFormat="1" ht="38.25" x14ac:dyDescent="0.2">
      <c r="A53" s="383" t="s">
        <v>523</v>
      </c>
      <c r="B53" s="378" t="s">
        <v>533</v>
      </c>
      <c r="C53" s="383">
        <v>3</v>
      </c>
      <c r="D53" s="383" t="s">
        <v>647</v>
      </c>
      <c r="E53" s="378" t="s">
        <v>290</v>
      </c>
      <c r="F53" s="396" t="s">
        <v>39</v>
      </c>
      <c r="G53" s="378" t="s">
        <v>272</v>
      </c>
      <c r="H53" s="378"/>
      <c r="I53" s="399"/>
      <c r="J53" s="352" t="str">
        <f>IFERROR(SUMPRODUCT(ISNUMBER(W_CKDATE)*ISNUMBER(W_RDATA),W_RDATA)/SUMPRODUCT(ISNUMBER(W_CKDATE)*ISNUMBER(W_RDATA)),"")</f>
        <v/>
      </c>
      <c r="K53" s="357"/>
      <c r="L53" s="357"/>
      <c r="M53" s="357"/>
      <c r="N53" s="357"/>
      <c r="O53" s="357"/>
      <c r="P53" s="357"/>
      <c r="Q53" s="357"/>
      <c r="R53" s="357"/>
      <c r="S53" s="357"/>
      <c r="T53" s="357"/>
      <c r="U53" s="357"/>
      <c r="V53" s="357"/>
      <c r="W53" s="383"/>
    </row>
    <row r="54" spans="1:23" s="395" customFormat="1" ht="38.25" x14ac:dyDescent="0.2">
      <c r="A54" s="383" t="s">
        <v>524</v>
      </c>
      <c r="B54" s="378" t="s">
        <v>533</v>
      </c>
      <c r="C54" s="383">
        <v>3</v>
      </c>
      <c r="D54" s="383" t="s">
        <v>647</v>
      </c>
      <c r="E54" s="378" t="s">
        <v>290</v>
      </c>
      <c r="F54" s="396" t="s">
        <v>955</v>
      </c>
      <c r="G54" s="378" t="s">
        <v>810</v>
      </c>
      <c r="H54" s="391"/>
      <c r="I54" s="399"/>
      <c r="J54" s="352" t="str">
        <f>IFERROR(SUMPRODUCT(ISNUMBER(W_CKDATE)*ISNUMBER(W_RDATA),W_RDATA)/SUMPRODUCT(ISNUMBER(W_CKDATE)*ISNUMBER(W_RDATA)),"")</f>
        <v/>
      </c>
      <c r="K54" s="357"/>
      <c r="L54" s="357"/>
      <c r="M54" s="357"/>
      <c r="N54" s="357"/>
      <c r="O54" s="357"/>
      <c r="P54" s="357"/>
      <c r="Q54" s="357"/>
      <c r="R54" s="357"/>
      <c r="S54" s="357"/>
      <c r="T54" s="357"/>
      <c r="U54" s="357"/>
      <c r="V54" s="357"/>
      <c r="W54" s="383"/>
    </row>
    <row r="55" spans="1:23" s="395" customFormat="1" ht="38.25" x14ac:dyDescent="0.2">
      <c r="A55" s="383" t="s">
        <v>525</v>
      </c>
      <c r="B55" s="378" t="s">
        <v>533</v>
      </c>
      <c r="C55" s="383">
        <v>3</v>
      </c>
      <c r="D55" s="383" t="s">
        <v>647</v>
      </c>
      <c r="E55" s="378" t="s">
        <v>290</v>
      </c>
      <c r="F55" s="396" t="s">
        <v>956</v>
      </c>
      <c r="G55" s="378" t="s">
        <v>571</v>
      </c>
      <c r="H55" s="378"/>
      <c r="I55" s="399"/>
      <c r="J55" s="352" t="str">
        <f>IFERROR(SUMPRODUCT(ISNUMBER(W_CKDATE)*ISNUMBER(W_RDATA),W_RDATA)/SUMPRODUCT(ISNUMBER(W_CKDATE)*ISNUMBER(W_RDATA)),"")</f>
        <v/>
      </c>
      <c r="K55" s="357"/>
      <c r="L55" s="357"/>
      <c r="M55" s="357"/>
      <c r="N55" s="357"/>
      <c r="O55" s="357"/>
      <c r="P55" s="357"/>
      <c r="Q55" s="357"/>
      <c r="R55" s="357"/>
      <c r="S55" s="357"/>
      <c r="T55" s="357"/>
      <c r="U55" s="357"/>
      <c r="V55" s="357"/>
      <c r="W55" s="383"/>
    </row>
    <row r="56" spans="1:23" s="395" customFormat="1" ht="51" x14ac:dyDescent="0.2">
      <c r="A56" s="383" t="s">
        <v>526</v>
      </c>
      <c r="B56" s="378" t="s">
        <v>533</v>
      </c>
      <c r="C56" s="383">
        <v>3</v>
      </c>
      <c r="D56" s="383" t="s">
        <v>647</v>
      </c>
      <c r="E56" s="378" t="s">
        <v>290</v>
      </c>
      <c r="F56" s="396" t="s">
        <v>957</v>
      </c>
      <c r="G56" s="378"/>
      <c r="H56" s="378"/>
      <c r="I56" s="399"/>
      <c r="J56" s="352" t="str">
        <f>IFERROR(SUMPRODUCT(ISNUMBER(W_CKDATE)*ISNUMBER(W_RDATA),W_RDATA)/SUMPRODUCT(ISNUMBER(W_CKDATE)*ISNUMBER(W_RDATA)),"")</f>
        <v/>
      </c>
      <c r="K56" s="357"/>
      <c r="L56" s="357"/>
      <c r="M56" s="357"/>
      <c r="N56" s="357"/>
      <c r="O56" s="357"/>
      <c r="P56" s="357"/>
      <c r="Q56" s="357"/>
      <c r="R56" s="357"/>
      <c r="S56" s="357"/>
      <c r="T56" s="357"/>
      <c r="U56" s="357"/>
      <c r="V56" s="357"/>
      <c r="W56" s="383"/>
    </row>
    <row r="57" spans="1:23" s="395" customFormat="1" ht="140.25" x14ac:dyDescent="0.2">
      <c r="A57" s="383" t="s">
        <v>527</v>
      </c>
      <c r="B57" s="378" t="s">
        <v>533</v>
      </c>
      <c r="C57" s="383">
        <v>3</v>
      </c>
      <c r="D57" s="383" t="s">
        <v>647</v>
      </c>
      <c r="E57" s="378" t="s">
        <v>290</v>
      </c>
      <c r="F57" s="396" t="s">
        <v>958</v>
      </c>
      <c r="G57" s="378" t="s">
        <v>837</v>
      </c>
      <c r="H57" s="378"/>
      <c r="I57" s="399"/>
      <c r="J57" s="352" t="str">
        <f>IFERROR(SUMPRODUCT(ISNUMBER(W_CKDATE)*ISNUMBER(W_RDATA),W_RDATA)/SUMPRODUCT(ISNUMBER(W_CKDATE)*ISNUMBER(W_RDATA)),"")</f>
        <v/>
      </c>
      <c r="K57" s="357"/>
      <c r="L57" s="357"/>
      <c r="M57" s="357"/>
      <c r="N57" s="357"/>
      <c r="O57" s="357"/>
      <c r="P57" s="357"/>
      <c r="Q57" s="357"/>
      <c r="R57" s="357"/>
      <c r="S57" s="357"/>
      <c r="T57" s="357"/>
      <c r="U57" s="357"/>
      <c r="V57" s="357"/>
      <c r="W57" s="383"/>
    </row>
    <row r="58" spans="1:23" s="347" customFormat="1" ht="63.75" x14ac:dyDescent="0.2">
      <c r="A58" s="344" t="s">
        <v>528</v>
      </c>
      <c r="B58" s="309" t="s">
        <v>533</v>
      </c>
      <c r="C58" s="339">
        <v>3</v>
      </c>
      <c r="D58" s="339" t="s">
        <v>647</v>
      </c>
      <c r="E58" s="309" t="s">
        <v>989</v>
      </c>
      <c r="F58" s="339" t="s">
        <v>838</v>
      </c>
      <c r="G58" s="310" t="s">
        <v>713</v>
      </c>
      <c r="H58" s="345"/>
      <c r="I58" s="346"/>
      <c r="J58" s="314" t="str">
        <f>IFERROR(SUMPRODUCT(ISNUMBER(W_CKDATE)*ISNUMBER(W_RDATA),W_RDATA)/SUMPRODUCT(ISNUMBER(W_CKDATE)*ISNUMBER(W_RDATA)),"")</f>
        <v/>
      </c>
      <c r="K58" s="315"/>
      <c r="L58" s="315"/>
      <c r="M58" s="315"/>
      <c r="N58" s="315"/>
      <c r="O58" s="315"/>
      <c r="P58" s="315"/>
      <c r="Q58" s="315"/>
      <c r="R58" s="315"/>
      <c r="S58" s="315"/>
      <c r="T58" s="315"/>
      <c r="U58" s="315"/>
      <c r="V58" s="315"/>
      <c r="W58" s="317"/>
    </row>
    <row r="59" spans="1:23" s="347" customFormat="1" ht="38.25" x14ac:dyDescent="0.2">
      <c r="A59" s="344" t="s">
        <v>529</v>
      </c>
      <c r="B59" s="309" t="s">
        <v>533</v>
      </c>
      <c r="C59" s="339">
        <v>2</v>
      </c>
      <c r="D59" s="339" t="s">
        <v>285</v>
      </c>
      <c r="E59" s="309" t="s">
        <v>290</v>
      </c>
      <c r="F59" s="348" t="s">
        <v>839</v>
      </c>
      <c r="G59" s="310" t="s">
        <v>714</v>
      </c>
      <c r="H59" s="309"/>
      <c r="I59" s="346"/>
      <c r="J59" s="314" t="str">
        <f>IFERROR(SUMPRODUCT(ISNUMBER(W_CKDATE)*ISNUMBER(W_RDATA),W_RDATA)/SUMPRODUCT(ISNUMBER(W_CKDATE)*ISNUMBER(W_RDATA)),"")</f>
        <v/>
      </c>
      <c r="K59" s="315"/>
      <c r="L59" s="315"/>
      <c r="M59" s="315"/>
      <c r="N59" s="315"/>
      <c r="O59" s="315"/>
      <c r="P59" s="315"/>
      <c r="Q59" s="315"/>
      <c r="R59" s="315"/>
      <c r="S59" s="315"/>
      <c r="T59" s="315"/>
      <c r="U59" s="315"/>
      <c r="V59" s="315"/>
      <c r="W59" s="317"/>
    </row>
    <row r="60" spans="1:23" s="347" customFormat="1" ht="25.5" hidden="1" x14ac:dyDescent="0.2">
      <c r="A60" s="344" t="s">
        <v>543</v>
      </c>
      <c r="B60" s="309" t="s">
        <v>538</v>
      </c>
      <c r="C60" s="339">
        <v>2</v>
      </c>
      <c r="D60" s="339"/>
      <c r="E60" s="344" t="s">
        <v>539</v>
      </c>
      <c r="F60" s="349" t="s">
        <v>840</v>
      </c>
      <c r="G60" s="339" t="s">
        <v>579</v>
      </c>
      <c r="H60" s="344"/>
      <c r="I60" s="344"/>
      <c r="J60" s="315"/>
      <c r="K60" s="315"/>
      <c r="L60" s="315"/>
      <c r="M60" s="315"/>
      <c r="N60" s="315"/>
      <c r="O60" s="315"/>
      <c r="P60" s="315"/>
      <c r="Q60" s="315"/>
      <c r="R60" s="315"/>
      <c r="S60" s="315"/>
      <c r="T60" s="315"/>
      <c r="U60" s="315"/>
      <c r="V60" s="315"/>
      <c r="W60" s="317"/>
    </row>
    <row r="61" spans="1:23" s="347" customFormat="1" hidden="1" x14ac:dyDescent="0.2">
      <c r="A61" s="344" t="s">
        <v>544</v>
      </c>
      <c r="B61" s="309" t="s">
        <v>538</v>
      </c>
      <c r="C61" s="339">
        <v>2</v>
      </c>
      <c r="D61" s="339" t="s">
        <v>284</v>
      </c>
      <c r="E61" s="344" t="s">
        <v>539</v>
      </c>
      <c r="F61" s="166" t="s">
        <v>606</v>
      </c>
      <c r="G61" s="339"/>
      <c r="H61" s="344"/>
      <c r="I61" s="344"/>
      <c r="J61" s="314" t="str">
        <f>IFERROR(SUMPRODUCT(ISNUMBER(W_CKDATE)*ISNUMBER(W_RDATA),W_RDATA)/SUMPRODUCT(ISNUMBER(W_CKDATE)*ISNUMBER(W_RDATA)),"")</f>
        <v/>
      </c>
      <c r="K61" s="315"/>
      <c r="L61" s="315"/>
      <c r="M61" s="315"/>
      <c r="N61" s="315"/>
      <c r="O61" s="315"/>
      <c r="P61" s="315"/>
      <c r="Q61" s="315"/>
      <c r="R61" s="315"/>
      <c r="S61" s="315"/>
      <c r="T61" s="315"/>
      <c r="U61" s="315"/>
      <c r="V61" s="315"/>
      <c r="W61" s="317"/>
    </row>
    <row r="62" spans="1:23" s="347" customFormat="1" ht="38.25" hidden="1" x14ac:dyDescent="0.2">
      <c r="A62" s="344" t="s">
        <v>545</v>
      </c>
      <c r="B62" s="309" t="s">
        <v>538</v>
      </c>
      <c r="C62" s="339">
        <v>2</v>
      </c>
      <c r="D62" s="339" t="s">
        <v>284</v>
      </c>
      <c r="E62" s="344" t="s">
        <v>539</v>
      </c>
      <c r="F62" s="166" t="s">
        <v>959</v>
      </c>
      <c r="G62" s="339"/>
      <c r="H62" s="344"/>
      <c r="I62" s="344"/>
      <c r="J62" s="314" t="str">
        <f>IFERROR(SUMPRODUCT(ISNUMBER(W_CKDATE)*ISNUMBER(W_RDATA),W_RDATA)/SUMPRODUCT(ISNUMBER(W_CKDATE)*ISNUMBER(W_RDATA)),"")</f>
        <v/>
      </c>
      <c r="K62" s="315"/>
      <c r="L62" s="315"/>
      <c r="M62" s="315"/>
      <c r="N62" s="315"/>
      <c r="O62" s="315"/>
      <c r="P62" s="315"/>
      <c r="Q62" s="315"/>
      <c r="R62" s="315"/>
      <c r="S62" s="315"/>
      <c r="T62" s="315"/>
      <c r="U62" s="315"/>
      <c r="V62" s="315"/>
      <c r="W62" s="317"/>
    </row>
    <row r="63" spans="1:23" s="347" customFormat="1" ht="25.5" hidden="1" x14ac:dyDescent="0.2">
      <c r="A63" s="344" t="s">
        <v>546</v>
      </c>
      <c r="B63" s="309" t="s">
        <v>538</v>
      </c>
      <c r="C63" s="339">
        <v>2</v>
      </c>
      <c r="D63" s="339" t="s">
        <v>284</v>
      </c>
      <c r="E63" s="344" t="s">
        <v>539</v>
      </c>
      <c r="F63" s="166" t="s">
        <v>944</v>
      </c>
      <c r="G63" s="339"/>
      <c r="H63" s="344"/>
      <c r="I63" s="344"/>
      <c r="J63" s="314" t="str">
        <f>IFERROR(SUMPRODUCT(ISNUMBER(W_CKDATE)*ISNUMBER(W_RDATA),W_RDATA)/SUMPRODUCT(ISNUMBER(W_CKDATE)*ISNUMBER(W_RDATA)),"")</f>
        <v/>
      </c>
      <c r="K63" s="315"/>
      <c r="L63" s="315"/>
      <c r="M63" s="315"/>
      <c r="N63" s="315"/>
      <c r="O63" s="315"/>
      <c r="P63" s="315"/>
      <c r="Q63" s="315"/>
      <c r="R63" s="315"/>
      <c r="S63" s="315"/>
      <c r="T63" s="315"/>
      <c r="U63" s="315"/>
      <c r="V63" s="315"/>
      <c r="W63" s="317"/>
    </row>
    <row r="64" spans="1:23" s="347" customFormat="1" ht="25.5" hidden="1" x14ac:dyDescent="0.2">
      <c r="A64" s="344" t="s">
        <v>547</v>
      </c>
      <c r="B64" s="309" t="s">
        <v>538</v>
      </c>
      <c r="C64" s="339">
        <v>2</v>
      </c>
      <c r="D64" s="339" t="s">
        <v>284</v>
      </c>
      <c r="E64" s="344" t="s">
        <v>539</v>
      </c>
      <c r="F64" s="166" t="s">
        <v>607</v>
      </c>
      <c r="G64" s="339"/>
      <c r="H64" s="344"/>
      <c r="I64" s="344"/>
      <c r="J64" s="314" t="str">
        <f>IFERROR(SUMPRODUCT(ISNUMBER(W_CKDATE)*ISNUMBER(W_RDATA),W_RDATA)/SUMPRODUCT(ISNUMBER(W_CKDATE)*ISNUMBER(W_RDATA)),"")</f>
        <v/>
      </c>
      <c r="K64" s="315"/>
      <c r="L64" s="315"/>
      <c r="M64" s="315"/>
      <c r="N64" s="315"/>
      <c r="O64" s="315"/>
      <c r="P64" s="315"/>
      <c r="Q64" s="315"/>
      <c r="R64" s="315"/>
      <c r="S64" s="315"/>
      <c r="T64" s="315"/>
      <c r="U64" s="315"/>
      <c r="V64" s="315"/>
      <c r="W64" s="317"/>
    </row>
    <row r="65" spans="1:23" s="347" customFormat="1" ht="25.5" hidden="1" x14ac:dyDescent="0.2">
      <c r="A65" s="344" t="s">
        <v>548</v>
      </c>
      <c r="B65" s="309" t="s">
        <v>538</v>
      </c>
      <c r="C65" s="339">
        <v>2</v>
      </c>
      <c r="D65" s="339" t="s">
        <v>284</v>
      </c>
      <c r="E65" s="344" t="s">
        <v>539</v>
      </c>
      <c r="F65" s="166" t="s">
        <v>611</v>
      </c>
      <c r="G65" s="339"/>
      <c r="H65" s="309"/>
      <c r="I65" s="346"/>
      <c r="J65" s="314" t="str">
        <f>IFERROR(SUMPRODUCT(ISNUMBER(W_CKDATE)*ISNUMBER(W_RDATA),W_RDATA)/SUMPRODUCT(ISNUMBER(W_CKDATE)*ISNUMBER(W_RDATA)),"")</f>
        <v/>
      </c>
      <c r="K65" s="315"/>
      <c r="L65" s="315"/>
      <c r="M65" s="315"/>
      <c r="N65" s="315"/>
      <c r="O65" s="315"/>
      <c r="P65" s="315"/>
      <c r="Q65" s="315"/>
      <c r="R65" s="315"/>
      <c r="S65" s="315"/>
      <c r="T65" s="315"/>
      <c r="U65" s="315"/>
      <c r="V65" s="315"/>
      <c r="W65" s="317"/>
    </row>
    <row r="66" spans="1:23" s="347" customFormat="1" ht="38.25" hidden="1" x14ac:dyDescent="0.2">
      <c r="A66" s="344" t="s">
        <v>549</v>
      </c>
      <c r="B66" s="309" t="s">
        <v>538</v>
      </c>
      <c r="C66" s="339">
        <v>2</v>
      </c>
      <c r="D66" s="339" t="s">
        <v>284</v>
      </c>
      <c r="E66" s="344" t="s">
        <v>539</v>
      </c>
      <c r="F66" s="166" t="s">
        <v>612</v>
      </c>
      <c r="G66" s="339"/>
      <c r="H66" s="344"/>
      <c r="I66" s="344"/>
      <c r="J66" s="314" t="str">
        <f>IFERROR(SUMPRODUCT(ISNUMBER(W_CKDATE)*ISNUMBER(W_RDATA),W_RDATA)/SUMPRODUCT(ISNUMBER(W_CKDATE)*ISNUMBER(W_RDATA)),"")</f>
        <v/>
      </c>
      <c r="K66" s="315"/>
      <c r="L66" s="315"/>
      <c r="M66" s="315"/>
      <c r="N66" s="315"/>
      <c r="O66" s="315"/>
      <c r="P66" s="315"/>
      <c r="Q66" s="315"/>
      <c r="R66" s="315"/>
      <c r="S66" s="315"/>
      <c r="T66" s="315"/>
      <c r="U66" s="315"/>
      <c r="V66" s="315"/>
      <c r="W66" s="317"/>
    </row>
    <row r="67" spans="1:23" s="347" customFormat="1" ht="25.5" hidden="1" x14ac:dyDescent="0.2">
      <c r="A67" s="344" t="s">
        <v>550</v>
      </c>
      <c r="B67" s="309" t="s">
        <v>538</v>
      </c>
      <c r="C67" s="339">
        <v>2</v>
      </c>
      <c r="D67" s="339" t="s">
        <v>284</v>
      </c>
      <c r="E67" s="344" t="s">
        <v>539</v>
      </c>
      <c r="F67" s="166" t="s">
        <v>613</v>
      </c>
      <c r="G67" s="339"/>
      <c r="H67" s="344"/>
      <c r="I67" s="344"/>
      <c r="J67" s="314" t="str">
        <f>IFERROR(SUMPRODUCT(ISNUMBER(W_CKDATE)*ISNUMBER(W_RDATA),W_RDATA)/SUMPRODUCT(ISNUMBER(W_CKDATE)*ISNUMBER(W_RDATA)),"")</f>
        <v/>
      </c>
      <c r="K67" s="315"/>
      <c r="L67" s="315"/>
      <c r="M67" s="315"/>
      <c r="N67" s="315"/>
      <c r="O67" s="315"/>
      <c r="P67" s="315"/>
      <c r="Q67" s="315"/>
      <c r="R67" s="315"/>
      <c r="S67" s="315"/>
      <c r="T67" s="315"/>
      <c r="U67" s="315"/>
      <c r="V67" s="315"/>
      <c r="W67" s="317"/>
    </row>
    <row r="68" spans="1:23" s="347" customFormat="1" ht="25.5" hidden="1" x14ac:dyDescent="0.2">
      <c r="A68" s="344" t="s">
        <v>551</v>
      </c>
      <c r="B68" s="309" t="s">
        <v>538</v>
      </c>
      <c r="C68" s="339">
        <v>2</v>
      </c>
      <c r="D68" s="339" t="s">
        <v>284</v>
      </c>
      <c r="E68" s="344" t="s">
        <v>539</v>
      </c>
      <c r="F68" s="166" t="s">
        <v>608</v>
      </c>
      <c r="G68" s="339"/>
      <c r="H68" s="344"/>
      <c r="I68" s="344"/>
      <c r="J68" s="314" t="str">
        <f>IFERROR(SUMPRODUCT(ISNUMBER(W_CKDATE)*ISNUMBER(W_RDATA),W_RDATA)/SUMPRODUCT(ISNUMBER(W_CKDATE)*ISNUMBER(W_RDATA)),"")</f>
        <v/>
      </c>
      <c r="K68" s="315"/>
      <c r="L68" s="315"/>
      <c r="M68" s="315"/>
      <c r="N68" s="315"/>
      <c r="O68" s="315"/>
      <c r="P68" s="315"/>
      <c r="Q68" s="315"/>
      <c r="R68" s="315"/>
      <c r="S68" s="315"/>
      <c r="T68" s="315"/>
      <c r="U68" s="315"/>
      <c r="V68" s="315"/>
      <c r="W68" s="317"/>
    </row>
    <row r="69" spans="1:23" s="347" customFormat="1" hidden="1" x14ac:dyDescent="0.2">
      <c r="A69" s="344" t="s">
        <v>552</v>
      </c>
      <c r="B69" s="309" t="s">
        <v>538</v>
      </c>
      <c r="C69" s="339">
        <v>2</v>
      </c>
      <c r="D69" s="339" t="s">
        <v>284</v>
      </c>
      <c r="E69" s="344" t="s">
        <v>539</v>
      </c>
      <c r="F69" s="166" t="s">
        <v>609</v>
      </c>
      <c r="G69" s="339"/>
      <c r="H69" s="344"/>
      <c r="I69" s="344"/>
      <c r="J69" s="314" t="str">
        <f>IFERROR(SUMPRODUCT(ISNUMBER(W_CKDATE)*ISNUMBER(W_RDATA),W_RDATA)/SUMPRODUCT(ISNUMBER(W_CKDATE)*ISNUMBER(W_RDATA)),"")</f>
        <v/>
      </c>
      <c r="K69" s="315"/>
      <c r="L69" s="315"/>
      <c r="M69" s="315"/>
      <c r="N69" s="315"/>
      <c r="O69" s="315"/>
      <c r="P69" s="315"/>
      <c r="Q69" s="315"/>
      <c r="R69" s="315"/>
      <c r="S69" s="315"/>
      <c r="T69" s="315"/>
      <c r="U69" s="315"/>
      <c r="V69" s="315"/>
      <c r="W69" s="317"/>
    </row>
    <row r="70" spans="1:23" s="353" customFormat="1" ht="25.5" hidden="1" x14ac:dyDescent="0.2">
      <c r="A70" s="339" t="s">
        <v>553</v>
      </c>
      <c r="B70" s="310" t="s">
        <v>538</v>
      </c>
      <c r="C70" s="339">
        <v>2</v>
      </c>
      <c r="D70" s="339" t="s">
        <v>284</v>
      </c>
      <c r="E70" s="350" t="s">
        <v>330</v>
      </c>
      <c r="F70" s="351" t="s">
        <v>598</v>
      </c>
      <c r="G70" s="339"/>
      <c r="H70" s="339"/>
      <c r="I70" s="339"/>
      <c r="J70" s="352" t="str">
        <f>IFERROR(SUMPRODUCT(ISNUMBER(W_CKDATE)*ISNUMBER(W_RDATA),W_RDATA)/SUMPRODUCT(ISNUMBER(W_CKDATE)*ISNUMBER(W_RDATA)),"")</f>
        <v/>
      </c>
      <c r="K70" s="352" t="str">
        <f t="shared" ref="K70:K86" si="0">IF(NOT(ISNUMBER(K$11)),"",IFERROR(SUMPRODUCT((D_CKID=$A70)*ISNUMBER(D_CKDATE)*ISNUMBER(D_CKDATA)*(D_CKDATE&lt;K$12+7), D_CKDATA)/SUMPRODUCT((D_CKID=$A70)*ISNUMBER(D_CKDATE)*ISNUMBER(D_CKDATA)*(D_CKDATE&lt;K$12+7)),""))</f>
        <v/>
      </c>
      <c r="L70" s="352" t="str">
        <f t="shared" ref="L70:V86" si="1">IF(NOT(ISNUMBER(L$11)), "", IFERROR(SUMPRODUCT((D_CKID=$A70)*ISNUMBER(D_CKDATE)*ISNUMBER(D_CKDATA)*(D_CKDATE&lt;L$12+7)*(D_CKDATE&gt;=L$12), D_CKDATA)/SUMPRODUCT((D_CKID=$A70)*ISNUMBER(D_CKDATE)*ISNUMBER(D_CKDATA)*(D_CKDATE&lt;L$12+7)*(D_CKDATE&gt;=L$12)),""))</f>
        <v/>
      </c>
      <c r="M70" s="352" t="str">
        <f t="shared" si="1"/>
        <v/>
      </c>
      <c r="N70" s="352" t="str">
        <f t="shared" si="1"/>
        <v/>
      </c>
      <c r="O70" s="352" t="str">
        <f t="shared" si="1"/>
        <v/>
      </c>
      <c r="P70" s="352" t="str">
        <f t="shared" si="1"/>
        <v/>
      </c>
      <c r="Q70" s="352" t="str">
        <f t="shared" si="1"/>
        <v/>
      </c>
      <c r="R70" s="352" t="str">
        <f t="shared" si="1"/>
        <v/>
      </c>
      <c r="S70" s="352" t="str">
        <f t="shared" si="1"/>
        <v/>
      </c>
      <c r="T70" s="352" t="str">
        <f t="shared" si="1"/>
        <v/>
      </c>
      <c r="U70" s="352" t="str">
        <f t="shared" si="1"/>
        <v/>
      </c>
      <c r="V70" s="352" t="str">
        <f t="shared" si="1"/>
        <v/>
      </c>
      <c r="W70" s="317"/>
    </row>
    <row r="71" spans="1:23" s="353" customFormat="1" ht="25.5" hidden="1" x14ac:dyDescent="0.2">
      <c r="A71" s="339" t="s">
        <v>554</v>
      </c>
      <c r="B71" s="310" t="s">
        <v>538</v>
      </c>
      <c r="C71" s="339">
        <v>2</v>
      </c>
      <c r="D71" s="339" t="s">
        <v>284</v>
      </c>
      <c r="E71" s="350" t="s">
        <v>330</v>
      </c>
      <c r="F71" s="351" t="s">
        <v>841</v>
      </c>
      <c r="G71" s="339"/>
      <c r="H71" s="310"/>
      <c r="I71" s="354"/>
      <c r="J71" s="352" t="str">
        <f>IFERROR(SUMPRODUCT(ISNUMBER(W_CKDATE)*ISNUMBER(W_RDATA),W_RDATA)/SUMPRODUCT(ISNUMBER(W_CKDATE)*ISNUMBER(W_RDATA)),"")</f>
        <v/>
      </c>
      <c r="K71" s="352" t="str">
        <f t="shared" si="0"/>
        <v/>
      </c>
      <c r="L71" s="352" t="str">
        <f t="shared" si="1"/>
        <v/>
      </c>
      <c r="M71" s="352" t="str">
        <f t="shared" si="1"/>
        <v/>
      </c>
      <c r="N71" s="352" t="str">
        <f t="shared" si="1"/>
        <v/>
      </c>
      <c r="O71" s="352" t="str">
        <f t="shared" si="1"/>
        <v/>
      </c>
      <c r="P71" s="352" t="str">
        <f t="shared" si="1"/>
        <v/>
      </c>
      <c r="Q71" s="352" t="str">
        <f t="shared" si="1"/>
        <v/>
      </c>
      <c r="R71" s="352" t="str">
        <f t="shared" si="1"/>
        <v/>
      </c>
      <c r="S71" s="352" t="str">
        <f t="shared" si="1"/>
        <v/>
      </c>
      <c r="T71" s="352" t="str">
        <f t="shared" si="1"/>
        <v/>
      </c>
      <c r="U71" s="352" t="str">
        <f t="shared" si="1"/>
        <v/>
      </c>
      <c r="V71" s="352" t="str">
        <f t="shared" si="1"/>
        <v/>
      </c>
      <c r="W71" s="317"/>
    </row>
    <row r="72" spans="1:23" s="353" customFormat="1" ht="25.5" x14ac:dyDescent="0.2">
      <c r="A72" s="339" t="s">
        <v>13</v>
      </c>
      <c r="B72" s="310" t="s">
        <v>535</v>
      </c>
      <c r="C72" s="339">
        <v>2</v>
      </c>
      <c r="D72" s="339" t="s">
        <v>284</v>
      </c>
      <c r="E72" s="350" t="s">
        <v>330</v>
      </c>
      <c r="F72" s="351" t="s">
        <v>842</v>
      </c>
      <c r="G72" s="151"/>
      <c r="I72" s="339"/>
      <c r="J72" s="352" t="str">
        <f>IFERROR(SUMPRODUCT(ISNUMBER(W_CKDATE)*ISNUMBER(W_RDATA),W_RDATA)/SUMPRODUCT(ISNUMBER(W_CKDATE)*ISNUMBER(W_RDATA)),"")</f>
        <v/>
      </c>
      <c r="K72" s="352" t="str">
        <f t="shared" si="0"/>
        <v/>
      </c>
      <c r="L72" s="352" t="str">
        <f t="shared" si="1"/>
        <v/>
      </c>
      <c r="M72" s="352" t="str">
        <f t="shared" si="1"/>
        <v/>
      </c>
      <c r="N72" s="352" t="str">
        <f t="shared" si="1"/>
        <v/>
      </c>
      <c r="O72" s="352" t="str">
        <f t="shared" si="1"/>
        <v/>
      </c>
      <c r="P72" s="352" t="str">
        <f t="shared" si="1"/>
        <v/>
      </c>
      <c r="Q72" s="352" t="str">
        <f t="shared" si="1"/>
        <v/>
      </c>
      <c r="R72" s="352" t="str">
        <f t="shared" si="1"/>
        <v/>
      </c>
      <c r="S72" s="352" t="str">
        <f t="shared" si="1"/>
        <v/>
      </c>
      <c r="T72" s="352" t="str">
        <f t="shared" si="1"/>
        <v/>
      </c>
      <c r="U72" s="352" t="str">
        <f t="shared" si="1"/>
        <v/>
      </c>
      <c r="V72" s="352" t="str">
        <f t="shared" si="1"/>
        <v/>
      </c>
      <c r="W72" s="317"/>
    </row>
    <row r="73" spans="1:23" s="353" customFormat="1" ht="76.5" x14ac:dyDescent="0.2">
      <c r="A73" s="339" t="s">
        <v>473</v>
      </c>
      <c r="B73" s="310" t="s">
        <v>535</v>
      </c>
      <c r="C73" s="339">
        <v>2</v>
      </c>
      <c r="D73" s="339" t="s">
        <v>284</v>
      </c>
      <c r="E73" s="350" t="s">
        <v>330</v>
      </c>
      <c r="F73" s="351" t="s">
        <v>843</v>
      </c>
      <c r="G73" s="339" t="s">
        <v>11</v>
      </c>
      <c r="H73" s="339"/>
      <c r="I73" s="339"/>
      <c r="J73" s="352" t="str">
        <f>IFERROR(SUMPRODUCT(ISNUMBER(W_CKDATE)*ISNUMBER(W_RDATA),W_RDATA)/SUMPRODUCT(ISNUMBER(W_CKDATE)*ISNUMBER(W_RDATA)),"")</f>
        <v/>
      </c>
      <c r="K73" s="352" t="str">
        <f t="shared" si="0"/>
        <v/>
      </c>
      <c r="L73" s="352" t="str">
        <f t="shared" si="1"/>
        <v/>
      </c>
      <c r="M73" s="352" t="str">
        <f t="shared" si="1"/>
        <v/>
      </c>
      <c r="N73" s="352" t="str">
        <f t="shared" si="1"/>
        <v/>
      </c>
      <c r="O73" s="352" t="str">
        <f t="shared" si="1"/>
        <v/>
      </c>
      <c r="P73" s="352" t="str">
        <f t="shared" si="1"/>
        <v/>
      </c>
      <c r="Q73" s="352" t="str">
        <f t="shared" si="1"/>
        <v/>
      </c>
      <c r="R73" s="352" t="str">
        <f t="shared" si="1"/>
        <v/>
      </c>
      <c r="S73" s="352" t="str">
        <f t="shared" si="1"/>
        <v/>
      </c>
      <c r="T73" s="352" t="str">
        <f t="shared" si="1"/>
        <v/>
      </c>
      <c r="U73" s="352" t="str">
        <f t="shared" si="1"/>
        <v/>
      </c>
      <c r="V73" s="352" t="str">
        <f t="shared" si="1"/>
        <v/>
      </c>
      <c r="W73" s="317"/>
    </row>
    <row r="74" spans="1:23" s="353" customFormat="1" ht="114.75" x14ac:dyDescent="0.2">
      <c r="A74" s="339" t="s">
        <v>475</v>
      </c>
      <c r="B74" s="310" t="s">
        <v>535</v>
      </c>
      <c r="C74" s="339">
        <v>2</v>
      </c>
      <c r="D74" s="339" t="s">
        <v>284</v>
      </c>
      <c r="E74" s="350" t="s">
        <v>330</v>
      </c>
      <c r="F74" s="351" t="s">
        <v>990</v>
      </c>
      <c r="G74" s="339" t="s">
        <v>991</v>
      </c>
      <c r="H74" s="401" t="s">
        <v>1045</v>
      </c>
      <c r="I74" s="339"/>
      <c r="J74" s="352" t="str">
        <f>IFERROR(SUMPRODUCT(ISNUMBER(W_CKDATE)*ISNUMBER(W_RDATA),W_RDATA)/SUMPRODUCT(ISNUMBER(W_CKDATE)*ISNUMBER(W_RDATA)),"")</f>
        <v/>
      </c>
      <c r="K74" s="352" t="str">
        <f t="shared" si="0"/>
        <v/>
      </c>
      <c r="L74" s="352" t="str">
        <f t="shared" si="1"/>
        <v/>
      </c>
      <c r="M74" s="352" t="str">
        <f t="shared" si="1"/>
        <v/>
      </c>
      <c r="N74" s="352" t="str">
        <f t="shared" si="1"/>
        <v/>
      </c>
      <c r="O74" s="352" t="str">
        <f t="shared" si="1"/>
        <v/>
      </c>
      <c r="P74" s="352" t="str">
        <f t="shared" si="1"/>
        <v/>
      </c>
      <c r="Q74" s="352" t="str">
        <f t="shared" si="1"/>
        <v/>
      </c>
      <c r="R74" s="352" t="str">
        <f t="shared" si="1"/>
        <v/>
      </c>
      <c r="S74" s="352" t="str">
        <f t="shared" si="1"/>
        <v/>
      </c>
      <c r="T74" s="352" t="str">
        <f t="shared" si="1"/>
        <v/>
      </c>
      <c r="U74" s="352" t="str">
        <f t="shared" si="1"/>
        <v/>
      </c>
      <c r="V74" s="352" t="str">
        <f t="shared" si="1"/>
        <v/>
      </c>
      <c r="W74" s="317"/>
    </row>
    <row r="75" spans="1:23" s="353" customFormat="1" ht="25.5" x14ac:dyDescent="0.2">
      <c r="A75" s="339" t="s">
        <v>476</v>
      </c>
      <c r="B75" s="310" t="s">
        <v>535</v>
      </c>
      <c r="C75" s="339">
        <v>2</v>
      </c>
      <c r="D75" s="339" t="s">
        <v>284</v>
      </c>
      <c r="E75" s="350" t="s">
        <v>330</v>
      </c>
      <c r="F75" s="351" t="s">
        <v>844</v>
      </c>
      <c r="G75" s="339"/>
      <c r="H75" s="339"/>
      <c r="I75" s="339"/>
      <c r="J75" s="352" t="str">
        <f>IFERROR(SUMPRODUCT(ISNUMBER(W_CKDATE)*ISNUMBER(W_RDATA),W_RDATA)/SUMPRODUCT(ISNUMBER(W_CKDATE)*ISNUMBER(W_RDATA)),"")</f>
        <v/>
      </c>
      <c r="K75" s="352" t="str">
        <f t="shared" si="0"/>
        <v/>
      </c>
      <c r="L75" s="352" t="str">
        <f t="shared" si="1"/>
        <v/>
      </c>
      <c r="M75" s="352" t="str">
        <f t="shared" si="1"/>
        <v/>
      </c>
      <c r="N75" s="352" t="str">
        <f t="shared" si="1"/>
        <v/>
      </c>
      <c r="O75" s="352" t="str">
        <f t="shared" si="1"/>
        <v/>
      </c>
      <c r="P75" s="352" t="str">
        <f t="shared" si="1"/>
        <v/>
      </c>
      <c r="Q75" s="352" t="str">
        <f t="shared" si="1"/>
        <v/>
      </c>
      <c r="R75" s="352" t="str">
        <f t="shared" si="1"/>
        <v/>
      </c>
      <c r="S75" s="352" t="str">
        <f t="shared" si="1"/>
        <v/>
      </c>
      <c r="T75" s="352" t="str">
        <f t="shared" si="1"/>
        <v/>
      </c>
      <c r="U75" s="352" t="str">
        <f t="shared" si="1"/>
        <v/>
      </c>
      <c r="V75" s="352" t="str">
        <f t="shared" si="1"/>
        <v/>
      </c>
      <c r="W75" s="317"/>
    </row>
    <row r="76" spans="1:23" s="353" customFormat="1" ht="51" x14ac:dyDescent="0.2">
      <c r="A76" s="339" t="s">
        <v>477</v>
      </c>
      <c r="B76" s="310" t="s">
        <v>535</v>
      </c>
      <c r="C76" s="339">
        <v>2</v>
      </c>
      <c r="D76" s="339" t="s">
        <v>284</v>
      </c>
      <c r="E76" s="355" t="s">
        <v>330</v>
      </c>
      <c r="F76" s="351" t="s">
        <v>599</v>
      </c>
      <c r="G76" s="356" t="s">
        <v>620</v>
      </c>
      <c r="H76" s="339"/>
      <c r="I76" s="339"/>
      <c r="J76" s="352" t="str">
        <f>IFERROR(SUMPRODUCT(ISNUMBER(W_CKDATE)*ISNUMBER(W_RDATA),W_RDATA)/SUMPRODUCT(ISNUMBER(W_CKDATE)*ISNUMBER(W_RDATA)),"")</f>
        <v/>
      </c>
      <c r="K76" s="352" t="str">
        <f t="shared" si="0"/>
        <v/>
      </c>
      <c r="L76" s="352" t="str">
        <f t="shared" si="1"/>
        <v/>
      </c>
      <c r="M76" s="352" t="str">
        <f t="shared" si="1"/>
        <v/>
      </c>
      <c r="N76" s="352" t="str">
        <f t="shared" si="1"/>
        <v/>
      </c>
      <c r="O76" s="352" t="str">
        <f t="shared" si="1"/>
        <v/>
      </c>
      <c r="P76" s="352" t="str">
        <f t="shared" si="1"/>
        <v/>
      </c>
      <c r="Q76" s="352" t="str">
        <f t="shared" si="1"/>
        <v/>
      </c>
      <c r="R76" s="352" t="str">
        <f t="shared" si="1"/>
        <v/>
      </c>
      <c r="S76" s="352" t="str">
        <f t="shared" si="1"/>
        <v/>
      </c>
      <c r="T76" s="352" t="str">
        <f t="shared" si="1"/>
        <v/>
      </c>
      <c r="U76" s="352" t="str">
        <f t="shared" si="1"/>
        <v/>
      </c>
      <c r="V76" s="352" t="str">
        <f t="shared" si="1"/>
        <v/>
      </c>
      <c r="W76" s="317"/>
    </row>
    <row r="77" spans="1:23" s="353" customFormat="1" ht="89.25" x14ac:dyDescent="0.2">
      <c r="A77" s="339" t="s">
        <v>478</v>
      </c>
      <c r="B77" s="310" t="s">
        <v>535</v>
      </c>
      <c r="C77" s="339">
        <v>2</v>
      </c>
      <c r="D77" s="339" t="s">
        <v>284</v>
      </c>
      <c r="E77" s="355" t="s">
        <v>330</v>
      </c>
      <c r="F77" s="351" t="s">
        <v>845</v>
      </c>
      <c r="G77" s="339" t="s">
        <v>811</v>
      </c>
      <c r="H77" s="339"/>
      <c r="I77" s="339"/>
      <c r="J77" s="357"/>
      <c r="K77" s="357"/>
      <c r="L77" s="357"/>
      <c r="M77" s="357"/>
      <c r="N77" s="357"/>
      <c r="O77" s="357"/>
      <c r="P77" s="357"/>
      <c r="Q77" s="357"/>
      <c r="R77" s="357"/>
      <c r="S77" s="357"/>
      <c r="T77" s="357"/>
      <c r="U77" s="357"/>
      <c r="V77" s="357"/>
      <c r="W77" s="317"/>
    </row>
    <row r="78" spans="1:23" s="353" customFormat="1" x14ac:dyDescent="0.2">
      <c r="A78" s="339" t="s">
        <v>480</v>
      </c>
      <c r="B78" s="310" t="s">
        <v>535</v>
      </c>
      <c r="C78" s="339">
        <v>2</v>
      </c>
      <c r="D78" s="339" t="s">
        <v>284</v>
      </c>
      <c r="E78" s="355" t="s">
        <v>330</v>
      </c>
      <c r="F78" s="152" t="s">
        <v>483</v>
      </c>
      <c r="G78" s="339"/>
      <c r="H78" s="339"/>
      <c r="I78" s="339"/>
      <c r="J78" s="352" t="str">
        <f>IFERROR(SUMPRODUCT(ISNUMBER(W_CKDATE)*ISNUMBER(W_RDATA),W_RDATA)/SUMPRODUCT(ISNUMBER(W_CKDATE)*ISNUMBER(W_RDATA)),"")</f>
        <v/>
      </c>
      <c r="K78" s="352" t="str">
        <f t="shared" si="0"/>
        <v/>
      </c>
      <c r="L78" s="352" t="str">
        <f t="shared" si="1"/>
        <v/>
      </c>
      <c r="M78" s="352" t="str">
        <f t="shared" si="1"/>
        <v/>
      </c>
      <c r="N78" s="352" t="str">
        <f t="shared" si="1"/>
        <v/>
      </c>
      <c r="O78" s="352" t="str">
        <f t="shared" si="1"/>
        <v/>
      </c>
      <c r="P78" s="352" t="str">
        <f t="shared" si="1"/>
        <v/>
      </c>
      <c r="Q78" s="352" t="str">
        <f t="shared" si="1"/>
        <v/>
      </c>
      <c r="R78" s="352" t="str">
        <f t="shared" si="1"/>
        <v/>
      </c>
      <c r="S78" s="352" t="str">
        <f t="shared" si="1"/>
        <v/>
      </c>
      <c r="T78" s="352" t="str">
        <f t="shared" si="1"/>
        <v/>
      </c>
      <c r="U78" s="352" t="str">
        <f t="shared" si="1"/>
        <v/>
      </c>
      <c r="V78" s="352" t="str">
        <f t="shared" si="1"/>
        <v/>
      </c>
      <c r="W78" s="317"/>
    </row>
    <row r="79" spans="1:23" s="353" customFormat="1" ht="25.5" x14ac:dyDescent="0.2">
      <c r="A79" s="339" t="s">
        <v>482</v>
      </c>
      <c r="B79" s="310" t="s">
        <v>535</v>
      </c>
      <c r="C79" s="339">
        <v>2</v>
      </c>
      <c r="D79" s="339" t="s">
        <v>284</v>
      </c>
      <c r="E79" s="355" t="s">
        <v>330</v>
      </c>
      <c r="F79" s="152" t="s">
        <v>617</v>
      </c>
      <c r="G79" s="339"/>
      <c r="H79" s="339"/>
      <c r="I79" s="339"/>
      <c r="J79" s="352" t="str">
        <f>IFERROR(SUMPRODUCT(ISNUMBER(W_CKDATE)*ISNUMBER(W_RDATA),W_RDATA)/SUMPRODUCT(ISNUMBER(W_CKDATE)*ISNUMBER(W_RDATA)),"")</f>
        <v/>
      </c>
      <c r="K79" s="352" t="str">
        <f t="shared" si="0"/>
        <v/>
      </c>
      <c r="L79" s="352" t="str">
        <f t="shared" si="1"/>
        <v/>
      </c>
      <c r="M79" s="352" t="str">
        <f t="shared" si="1"/>
        <v/>
      </c>
      <c r="N79" s="352" t="str">
        <f t="shared" si="1"/>
        <v/>
      </c>
      <c r="O79" s="352" t="str">
        <f t="shared" si="1"/>
        <v/>
      </c>
      <c r="P79" s="352" t="str">
        <f t="shared" si="1"/>
        <v/>
      </c>
      <c r="Q79" s="352" t="str">
        <f t="shared" si="1"/>
        <v/>
      </c>
      <c r="R79" s="352" t="str">
        <f t="shared" si="1"/>
        <v/>
      </c>
      <c r="S79" s="352" t="str">
        <f t="shared" si="1"/>
        <v/>
      </c>
      <c r="T79" s="352" t="str">
        <f t="shared" si="1"/>
        <v/>
      </c>
      <c r="U79" s="352" t="str">
        <f t="shared" si="1"/>
        <v/>
      </c>
      <c r="V79" s="352" t="str">
        <f t="shared" si="1"/>
        <v/>
      </c>
      <c r="W79" s="317"/>
    </row>
    <row r="80" spans="1:23" s="353" customFormat="1" ht="38.25" x14ac:dyDescent="0.2">
      <c r="A80" s="339" t="s">
        <v>484</v>
      </c>
      <c r="B80" s="310" t="s">
        <v>535</v>
      </c>
      <c r="C80" s="339">
        <v>2</v>
      </c>
      <c r="D80" s="339" t="s">
        <v>284</v>
      </c>
      <c r="E80" s="355" t="s">
        <v>330</v>
      </c>
      <c r="F80" s="152" t="s">
        <v>619</v>
      </c>
      <c r="G80" s="339"/>
      <c r="H80" s="339"/>
      <c r="I80" s="339"/>
      <c r="J80" s="352" t="str">
        <f>IFERROR(SUMPRODUCT(ISNUMBER(W_CKDATE)*ISNUMBER(W_RDATA),W_RDATA)/SUMPRODUCT(ISNUMBER(W_CKDATE)*ISNUMBER(W_RDATA)),"")</f>
        <v/>
      </c>
      <c r="K80" s="352" t="str">
        <f t="shared" si="0"/>
        <v/>
      </c>
      <c r="L80" s="352" t="str">
        <f t="shared" si="1"/>
        <v/>
      </c>
      <c r="M80" s="352" t="str">
        <f t="shared" si="1"/>
        <v/>
      </c>
      <c r="N80" s="352" t="str">
        <f t="shared" si="1"/>
        <v/>
      </c>
      <c r="O80" s="352" t="str">
        <f t="shared" si="1"/>
        <v/>
      </c>
      <c r="P80" s="352" t="str">
        <f t="shared" si="1"/>
        <v/>
      </c>
      <c r="Q80" s="352" t="str">
        <f t="shared" si="1"/>
        <v/>
      </c>
      <c r="R80" s="352" t="str">
        <f t="shared" si="1"/>
        <v/>
      </c>
      <c r="S80" s="352" t="str">
        <f t="shared" si="1"/>
        <v/>
      </c>
      <c r="T80" s="352" t="str">
        <f t="shared" si="1"/>
        <v/>
      </c>
      <c r="U80" s="352" t="str">
        <f t="shared" si="1"/>
        <v/>
      </c>
      <c r="V80" s="352" t="str">
        <f t="shared" si="1"/>
        <v/>
      </c>
      <c r="W80" s="317"/>
    </row>
    <row r="81" spans="1:23" s="353" customFormat="1" x14ac:dyDescent="0.2">
      <c r="A81" s="339" t="s">
        <v>485</v>
      </c>
      <c r="B81" s="310" t="s">
        <v>535</v>
      </c>
      <c r="C81" s="339">
        <v>2</v>
      </c>
      <c r="D81" s="339" t="s">
        <v>284</v>
      </c>
      <c r="E81" s="355" t="s">
        <v>330</v>
      </c>
      <c r="F81" s="152" t="s">
        <v>618</v>
      </c>
      <c r="G81" s="339"/>
      <c r="H81" s="339"/>
      <c r="I81" s="339"/>
      <c r="J81" s="352" t="str">
        <f>IFERROR(SUMPRODUCT(ISNUMBER(W_CKDATE)*ISNUMBER(W_RDATA),W_RDATA)/SUMPRODUCT(ISNUMBER(W_CKDATE)*ISNUMBER(W_RDATA)),"")</f>
        <v/>
      </c>
      <c r="K81" s="352" t="str">
        <f t="shared" si="0"/>
        <v/>
      </c>
      <c r="L81" s="352" t="str">
        <f t="shared" si="1"/>
        <v/>
      </c>
      <c r="M81" s="352" t="str">
        <f t="shared" si="1"/>
        <v/>
      </c>
      <c r="N81" s="352" t="str">
        <f t="shared" si="1"/>
        <v/>
      </c>
      <c r="O81" s="352" t="str">
        <f t="shared" si="1"/>
        <v/>
      </c>
      <c r="P81" s="352" t="str">
        <f t="shared" si="1"/>
        <v/>
      </c>
      <c r="Q81" s="352" t="str">
        <f t="shared" si="1"/>
        <v/>
      </c>
      <c r="R81" s="352" t="str">
        <f t="shared" si="1"/>
        <v/>
      </c>
      <c r="S81" s="352" t="str">
        <f t="shared" si="1"/>
        <v/>
      </c>
      <c r="T81" s="352" t="str">
        <f t="shared" si="1"/>
        <v/>
      </c>
      <c r="U81" s="352" t="str">
        <f t="shared" si="1"/>
        <v/>
      </c>
      <c r="V81" s="352" t="str">
        <f t="shared" si="1"/>
        <v/>
      </c>
      <c r="W81" s="317"/>
    </row>
    <row r="82" spans="1:23" s="353" customFormat="1" ht="25.5" x14ac:dyDescent="0.2">
      <c r="A82" s="339" t="s">
        <v>486</v>
      </c>
      <c r="B82" s="310" t="s">
        <v>535</v>
      </c>
      <c r="C82" s="339">
        <v>2</v>
      </c>
      <c r="D82" s="339" t="s">
        <v>284</v>
      </c>
      <c r="E82" s="355" t="s">
        <v>330</v>
      </c>
      <c r="F82" s="350" t="s">
        <v>846</v>
      </c>
      <c r="G82" s="339" t="s">
        <v>621</v>
      </c>
      <c r="H82" s="356"/>
      <c r="I82" s="339"/>
      <c r="J82" s="357"/>
      <c r="K82" s="357"/>
      <c r="L82" s="357"/>
      <c r="M82" s="357"/>
      <c r="N82" s="357"/>
      <c r="O82" s="357"/>
      <c r="P82" s="357"/>
      <c r="Q82" s="357"/>
      <c r="R82" s="357"/>
      <c r="S82" s="357"/>
      <c r="T82" s="357"/>
      <c r="U82" s="357"/>
      <c r="V82" s="357"/>
      <c r="W82" s="317"/>
    </row>
    <row r="83" spans="1:23" s="353" customFormat="1" x14ac:dyDescent="0.2">
      <c r="A83" s="339" t="s">
        <v>487</v>
      </c>
      <c r="B83" s="310" t="s">
        <v>535</v>
      </c>
      <c r="C83" s="339">
        <v>2</v>
      </c>
      <c r="D83" s="339" t="s">
        <v>284</v>
      </c>
      <c r="E83" s="355" t="s">
        <v>330</v>
      </c>
      <c r="F83" s="152" t="s">
        <v>600</v>
      </c>
      <c r="G83" s="339"/>
      <c r="H83" s="339"/>
      <c r="I83" s="339"/>
      <c r="J83" s="352" t="str">
        <f>IFERROR(SUMPRODUCT(ISNUMBER(W_CKDATE)*ISNUMBER(W_RDATA),W_RDATA)/SUMPRODUCT(ISNUMBER(W_CKDATE)*ISNUMBER(W_RDATA)),"")</f>
        <v/>
      </c>
      <c r="K83" s="352" t="str">
        <f t="shared" si="0"/>
        <v/>
      </c>
      <c r="L83" s="352" t="str">
        <f t="shared" si="1"/>
        <v/>
      </c>
      <c r="M83" s="352" t="str">
        <f t="shared" si="1"/>
        <v/>
      </c>
      <c r="N83" s="352" t="str">
        <f t="shared" si="1"/>
        <v/>
      </c>
      <c r="O83" s="352" t="str">
        <f t="shared" si="1"/>
        <v/>
      </c>
      <c r="P83" s="352" t="str">
        <f t="shared" si="1"/>
        <v/>
      </c>
      <c r="Q83" s="352" t="str">
        <f t="shared" si="1"/>
        <v/>
      </c>
      <c r="R83" s="352" t="str">
        <f t="shared" si="1"/>
        <v/>
      </c>
      <c r="S83" s="352" t="str">
        <f t="shared" si="1"/>
        <v/>
      </c>
      <c r="T83" s="352" t="str">
        <f t="shared" si="1"/>
        <v/>
      </c>
      <c r="U83" s="352" t="str">
        <f t="shared" si="1"/>
        <v/>
      </c>
      <c r="V83" s="352" t="str">
        <f t="shared" si="1"/>
        <v/>
      </c>
      <c r="W83" s="317"/>
    </row>
    <row r="84" spans="1:23" s="353" customFormat="1" x14ac:dyDescent="0.2">
      <c r="A84" s="339" t="s">
        <v>1</v>
      </c>
      <c r="B84" s="310" t="s">
        <v>535</v>
      </c>
      <c r="C84" s="339">
        <v>2</v>
      </c>
      <c r="D84" s="339" t="s">
        <v>284</v>
      </c>
      <c r="E84" s="355" t="s">
        <v>330</v>
      </c>
      <c r="F84" s="152" t="s">
        <v>3</v>
      </c>
      <c r="G84" s="339"/>
      <c r="H84" s="310"/>
      <c r="I84" s="339"/>
      <c r="J84" s="352" t="str">
        <f>IFERROR(SUMPRODUCT(ISNUMBER(W_CKDATE)*ISNUMBER(W_RDATA),W_RDATA)/SUMPRODUCT(ISNUMBER(W_CKDATE)*ISNUMBER(W_RDATA)),"")</f>
        <v/>
      </c>
      <c r="K84" s="352" t="str">
        <f t="shared" si="0"/>
        <v/>
      </c>
      <c r="L84" s="352" t="str">
        <f t="shared" si="1"/>
        <v/>
      </c>
      <c r="M84" s="352" t="str">
        <f t="shared" si="1"/>
        <v/>
      </c>
      <c r="N84" s="352" t="str">
        <f t="shared" si="1"/>
        <v/>
      </c>
      <c r="O84" s="352" t="str">
        <f t="shared" si="1"/>
        <v/>
      </c>
      <c r="P84" s="352" t="str">
        <f t="shared" si="1"/>
        <v/>
      </c>
      <c r="Q84" s="352" t="str">
        <f t="shared" si="1"/>
        <v/>
      </c>
      <c r="R84" s="352" t="str">
        <f t="shared" si="1"/>
        <v/>
      </c>
      <c r="S84" s="352" t="str">
        <f t="shared" si="1"/>
        <v/>
      </c>
      <c r="T84" s="352" t="str">
        <f t="shared" si="1"/>
        <v/>
      </c>
      <c r="U84" s="352" t="str">
        <f t="shared" si="1"/>
        <v/>
      </c>
      <c r="V84" s="352" t="str">
        <f t="shared" si="1"/>
        <v/>
      </c>
      <c r="W84" s="317"/>
    </row>
    <row r="85" spans="1:23" s="353" customFormat="1" ht="25.5" x14ac:dyDescent="0.2">
      <c r="A85" s="339" t="s">
        <v>2</v>
      </c>
      <c r="B85" s="310" t="s">
        <v>535</v>
      </c>
      <c r="C85" s="339">
        <v>2</v>
      </c>
      <c r="D85" s="339" t="s">
        <v>284</v>
      </c>
      <c r="E85" s="355" t="s">
        <v>330</v>
      </c>
      <c r="F85" s="350" t="s">
        <v>847</v>
      </c>
      <c r="G85" s="339" t="s">
        <v>945</v>
      </c>
      <c r="H85" s="310"/>
      <c r="I85" s="339"/>
      <c r="J85" s="352" t="str">
        <f>IFERROR(SUMPRODUCT(ISNUMBER(W_CKDATE)*ISNUMBER(W_RDATA),W_RDATA)/SUMPRODUCT(ISNUMBER(W_CKDATE)*ISNUMBER(W_RDATA)),"")</f>
        <v/>
      </c>
      <c r="K85" s="352" t="str">
        <f t="shared" si="0"/>
        <v/>
      </c>
      <c r="L85" s="352" t="str">
        <f t="shared" si="1"/>
        <v/>
      </c>
      <c r="M85" s="352" t="str">
        <f t="shared" si="1"/>
        <v/>
      </c>
      <c r="N85" s="352" t="str">
        <f t="shared" si="1"/>
        <v/>
      </c>
      <c r="O85" s="352" t="str">
        <f t="shared" si="1"/>
        <v/>
      </c>
      <c r="P85" s="352" t="str">
        <f t="shared" si="1"/>
        <v/>
      </c>
      <c r="Q85" s="352" t="str">
        <f t="shared" si="1"/>
        <v/>
      </c>
      <c r="R85" s="352" t="str">
        <f t="shared" si="1"/>
        <v/>
      </c>
      <c r="S85" s="352" t="str">
        <f t="shared" si="1"/>
        <v/>
      </c>
      <c r="T85" s="352" t="str">
        <f t="shared" si="1"/>
        <v/>
      </c>
      <c r="U85" s="352" t="str">
        <f t="shared" si="1"/>
        <v/>
      </c>
      <c r="V85" s="352" t="str">
        <f t="shared" si="1"/>
        <v/>
      </c>
      <c r="W85" s="317"/>
    </row>
    <row r="86" spans="1:23" s="353" customFormat="1" ht="25.5" x14ac:dyDescent="0.2">
      <c r="A86" s="339" t="s">
        <v>4</v>
      </c>
      <c r="B86" s="310" t="s">
        <v>535</v>
      </c>
      <c r="C86" s="339">
        <v>2</v>
      </c>
      <c r="D86" s="339" t="s">
        <v>284</v>
      </c>
      <c r="E86" s="355" t="s">
        <v>330</v>
      </c>
      <c r="F86" s="350" t="s">
        <v>964</v>
      </c>
      <c r="G86" s="339" t="s">
        <v>945</v>
      </c>
      <c r="H86" s="310"/>
      <c r="I86" s="339"/>
      <c r="J86" s="352" t="str">
        <f>IFERROR(SUMPRODUCT(ISNUMBER(W_CKDATE)*ISNUMBER(W_RDATA),W_RDATA)/SUMPRODUCT(ISNUMBER(W_CKDATE)*ISNUMBER(W_RDATA)),"")</f>
        <v/>
      </c>
      <c r="K86" s="352" t="str">
        <f t="shared" si="0"/>
        <v/>
      </c>
      <c r="L86" s="352" t="str">
        <f t="shared" si="1"/>
        <v/>
      </c>
      <c r="M86" s="352" t="str">
        <f t="shared" si="1"/>
        <v/>
      </c>
      <c r="N86" s="352" t="str">
        <f t="shared" si="1"/>
        <v/>
      </c>
      <c r="O86" s="352" t="str">
        <f t="shared" si="1"/>
        <v/>
      </c>
      <c r="P86" s="352" t="str">
        <f t="shared" si="1"/>
        <v/>
      </c>
      <c r="Q86" s="352" t="str">
        <f t="shared" si="1"/>
        <v/>
      </c>
      <c r="R86" s="352" t="str">
        <f t="shared" si="1"/>
        <v/>
      </c>
      <c r="S86" s="352" t="str">
        <f t="shared" si="1"/>
        <v/>
      </c>
      <c r="T86" s="352" t="str">
        <f t="shared" si="1"/>
        <v/>
      </c>
      <c r="U86" s="352" t="str">
        <f t="shared" si="1"/>
        <v/>
      </c>
      <c r="V86" s="352" t="str">
        <f t="shared" si="1"/>
        <v/>
      </c>
      <c r="W86" s="317"/>
    </row>
    <row r="87" spans="1:23" s="165" customFormat="1" x14ac:dyDescent="0.2">
      <c r="A87" s="135" t="s">
        <v>946</v>
      </c>
      <c r="B87" s="136"/>
      <c r="C87" s="136"/>
      <c r="D87" s="136"/>
      <c r="E87" s="136"/>
      <c r="F87" s="136"/>
      <c r="G87" s="144"/>
      <c r="H87" s="136"/>
      <c r="I87" s="136"/>
      <c r="J87" s="136"/>
      <c r="K87" s="136"/>
      <c r="L87" s="136"/>
      <c r="M87" s="136"/>
      <c r="N87" s="136"/>
      <c r="O87" s="136"/>
      <c r="P87" s="136"/>
      <c r="Q87" s="136"/>
      <c r="R87" s="136"/>
      <c r="S87" s="136"/>
      <c r="T87" s="136"/>
      <c r="U87" s="136"/>
      <c r="V87" s="136"/>
      <c r="W87" s="137"/>
    </row>
  </sheetData>
  <sheetProtection formatCells="0" formatColumns="0" formatRows="0" insertColumns="0" insertRows="0" insertHyperlinks="0" deleteColumns="0" deleteRows="0" sort="0" autoFilter="0" pivotTables="0"/>
  <dataConsolidate/>
  <mergeCells count="4">
    <mergeCell ref="I8:J8"/>
    <mergeCell ref="I9:J9"/>
    <mergeCell ref="I10:J10"/>
    <mergeCell ref="I11:J11"/>
  </mergeCells>
  <phoneticPr fontId="0" type="noConversion"/>
  <conditionalFormatting sqref="E66:I70 E60:I64 F60:F86 E14:I43 F51:G51 A13:A86 F53:F58 E13:G44 E73:I73 K13:V86 E60:G72 I72 E75:I86 E74:G74 I74">
    <cfRule type="cellIs" dxfId="167" priority="249" stopIfTrue="1" operator="equal">
      <formula>100</formula>
    </cfRule>
    <cfRule type="expression" dxfId="166" priority="250" stopIfTrue="1">
      <formula>AND(A13&gt;=50,A13&lt;&gt;"N/A",NOT(ISERROR(VALUE(A13))))</formula>
    </cfRule>
    <cfRule type="expression" dxfId="165" priority="251" stopIfTrue="1">
      <formula>NOT(OR(ISBLANK(A13),A13="N/A",ISERROR(VALUE(A13))))</formula>
    </cfRule>
  </conditionalFormatting>
  <conditionalFormatting sqref="X8:HX10 A8:A10">
    <cfRule type="containsBlanks" priority="245" stopIfTrue="1">
      <formula>LEN(TRIM(A8))=0</formula>
    </cfRule>
    <cfRule type="cellIs" dxfId="164" priority="246" stopIfTrue="1" operator="equal">
      <formula>0</formula>
    </cfRule>
    <cfRule type="cellIs" dxfId="163" priority="247" stopIfTrue="1" operator="equal">
      <formula>50</formula>
    </cfRule>
    <cfRule type="cellIs" dxfId="162" priority="248" stopIfTrue="1" operator="equal">
      <formula>100</formula>
    </cfRule>
  </conditionalFormatting>
  <conditionalFormatting sqref="J13:J86">
    <cfRule type="expression" dxfId="161" priority="258" stopIfTrue="1">
      <formula>AND(J13&gt;=90,NOT(ISBLANK(J13)),NOT(ISERROR(VALUE(J13))))</formula>
    </cfRule>
    <cfRule type="expression" dxfId="160" priority="259" stopIfTrue="1">
      <formula>AND(J13&lt;90,J13&gt;=50,J13&lt;&gt;"N/A",NOT(ISERROR(VALUE(J13))))</formula>
    </cfRule>
    <cfRule type="expression" dxfId="159" priority="260" stopIfTrue="1">
      <formula>NOT(OR(ISBLANK(J13),J13="N/A",ISERROR(VALUE(J13))))</formula>
    </cfRule>
  </conditionalFormatting>
  <conditionalFormatting sqref="E73:H73 E66:H70 E60:H64 E65:G65 E71:G72 E75:H86 E74:G74">
    <cfRule type="cellIs" dxfId="158" priority="37" stopIfTrue="1" operator="equal">
      <formula>100</formula>
    </cfRule>
    <cfRule type="expression" dxfId="157" priority="38" stopIfTrue="1">
      <formula>AND(E60&gt;=50,E60&lt;&gt;"N/A",NOT(ISERROR(VALUE(E60))))</formula>
    </cfRule>
    <cfRule type="expression" dxfId="156" priority="39" stopIfTrue="1">
      <formula>NOT(OR(ISBLANK(E60),E60="N/A",ISERROR(VALUE(E60))))</formula>
    </cfRule>
  </conditionalFormatting>
  <conditionalFormatting sqref="F84:F86">
    <cfRule type="cellIs" dxfId="155" priority="34" stopIfTrue="1" operator="equal">
      <formula>100</formula>
    </cfRule>
    <cfRule type="expression" dxfId="154" priority="35" stopIfTrue="1">
      <formula>AND(F84&gt;=50,F84&lt;&gt;"N/A",NOT(ISERROR(VALUE(F84))))</formula>
    </cfRule>
    <cfRule type="expression" dxfId="153" priority="36" stopIfTrue="1">
      <formula>NOT(OR(ISBLANK(F84),F84="N/A",ISERROR(VALUE(F84))))</formula>
    </cfRule>
  </conditionalFormatting>
  <conditionalFormatting sqref="F84:F86">
    <cfRule type="cellIs" dxfId="152" priority="31" stopIfTrue="1" operator="equal">
      <formula>100</formula>
    </cfRule>
    <cfRule type="expression" dxfId="151" priority="32" stopIfTrue="1">
      <formula>AND(F84&gt;=50,F84&lt;&gt;"N/A",NOT(ISERROR(VALUE(F84))))</formula>
    </cfRule>
    <cfRule type="expression" dxfId="150" priority="33" stopIfTrue="1">
      <formula>NOT(OR(ISBLANK(F84),F84="N/A",ISERROR(VALUE(F84))))</formula>
    </cfRule>
  </conditionalFormatting>
  <conditionalFormatting sqref="F84:F86">
    <cfRule type="cellIs" dxfId="149" priority="28" stopIfTrue="1" operator="equal">
      <formula>100</formula>
    </cfRule>
    <cfRule type="expression" dxfId="148" priority="29" stopIfTrue="1">
      <formula>AND(F84&gt;=50,F84&lt;&gt;"N/A",NOT(ISERROR(VALUE(F84))))</formula>
    </cfRule>
    <cfRule type="expression" dxfId="147" priority="30" stopIfTrue="1">
      <formula>NOT(OR(ISBLANK(F84),F84="N/A",ISERROR(VALUE(F84))))</formula>
    </cfRule>
  </conditionalFormatting>
  <conditionalFormatting sqref="F84:F86">
    <cfRule type="cellIs" dxfId="146" priority="25" stopIfTrue="1" operator="equal">
      <formula>100</formula>
    </cfRule>
    <cfRule type="expression" dxfId="145" priority="26" stopIfTrue="1">
      <formula>AND(F84&gt;=50,F84&lt;&gt;"N/A",NOT(ISERROR(VALUE(F84))))</formula>
    </cfRule>
    <cfRule type="expression" dxfId="144" priority="27" stopIfTrue="1">
      <formula>NOT(OR(ISBLANK(F84),F84="N/A",ISERROR(VALUE(F84))))</formula>
    </cfRule>
  </conditionalFormatting>
  <conditionalFormatting sqref="F84:F86">
    <cfRule type="cellIs" dxfId="143" priority="22" stopIfTrue="1" operator="equal">
      <formula>100</formula>
    </cfRule>
    <cfRule type="expression" dxfId="142" priority="23" stopIfTrue="1">
      <formula>AND(F84&gt;=50,F84&lt;&gt;"N/A",NOT(ISERROR(VALUE(F84))))</formula>
    </cfRule>
    <cfRule type="expression" dxfId="141" priority="24" stopIfTrue="1">
      <formula>NOT(OR(ISBLANK(F84),F84="N/A",ISERROR(VALUE(F84))))</formula>
    </cfRule>
  </conditionalFormatting>
  <conditionalFormatting sqref="J27">
    <cfRule type="cellIs" dxfId="140" priority="19" stopIfTrue="1" operator="equal">
      <formula>100</formula>
    </cfRule>
    <cfRule type="expression" dxfId="139" priority="20" stopIfTrue="1">
      <formula>AND(J27&gt;=50,J27&lt;&gt;"N/A",NOT(ISERROR(VALUE(J27))))</formula>
    </cfRule>
    <cfRule type="expression" dxfId="138" priority="21" stopIfTrue="1">
      <formula>NOT(OR(ISBLANK(J27),J27="N/A",ISERROR(VALUE(J27))))</formula>
    </cfRule>
  </conditionalFormatting>
  <conditionalFormatting sqref="J52">
    <cfRule type="cellIs" dxfId="137" priority="16" stopIfTrue="1" operator="equal">
      <formula>100</formula>
    </cfRule>
    <cfRule type="expression" dxfId="136" priority="17" stopIfTrue="1">
      <formula>AND(J52&gt;=50,J52&lt;&gt;"N/A",NOT(ISERROR(VALUE(J52))))</formula>
    </cfRule>
    <cfRule type="expression" dxfId="135" priority="18" stopIfTrue="1">
      <formula>NOT(OR(ISBLANK(J52),J52="N/A",ISERROR(VALUE(J52))))</formula>
    </cfRule>
  </conditionalFormatting>
  <conditionalFormatting sqref="J60">
    <cfRule type="cellIs" dxfId="134" priority="13" stopIfTrue="1" operator="equal">
      <formula>100</formula>
    </cfRule>
    <cfRule type="expression" dxfId="133" priority="14" stopIfTrue="1">
      <formula>AND(J60&gt;=50,J60&lt;&gt;"N/A",NOT(ISERROR(VALUE(J60))))</formula>
    </cfRule>
    <cfRule type="expression" dxfId="132" priority="15" stopIfTrue="1">
      <formula>NOT(OR(ISBLANK(J60),J60="N/A",ISERROR(VALUE(J60))))</formula>
    </cfRule>
  </conditionalFormatting>
  <conditionalFormatting sqref="J77">
    <cfRule type="cellIs" dxfId="131" priority="10" stopIfTrue="1" operator="equal">
      <formula>100</formula>
    </cfRule>
    <cfRule type="expression" dxfId="130" priority="11" stopIfTrue="1">
      <formula>AND(J77&gt;=50,J77&lt;&gt;"N/A",NOT(ISERROR(VALUE(J77))))</formula>
    </cfRule>
    <cfRule type="expression" dxfId="129" priority="12" stopIfTrue="1">
      <formula>NOT(OR(ISBLANK(J77),J77="N/A",ISERROR(VALUE(J77))))</formula>
    </cfRule>
  </conditionalFormatting>
  <conditionalFormatting sqref="J82">
    <cfRule type="cellIs" dxfId="128" priority="7" stopIfTrue="1" operator="equal">
      <formula>100</formula>
    </cfRule>
    <cfRule type="expression" dxfId="127" priority="8" stopIfTrue="1">
      <formula>AND(J82&gt;=50,J82&lt;&gt;"N/A",NOT(ISERROR(VALUE(J82))))</formula>
    </cfRule>
    <cfRule type="expression" dxfId="126" priority="9" stopIfTrue="1">
      <formula>NOT(OR(ISBLANK(J82),J82="N/A",ISERROR(VALUE(J82))))</formula>
    </cfRule>
  </conditionalFormatting>
  <conditionalFormatting sqref="H74">
    <cfRule type="cellIs" dxfId="125" priority="4" stopIfTrue="1" operator="equal">
      <formula>100</formula>
    </cfRule>
    <cfRule type="expression" dxfId="124" priority="5" stopIfTrue="1">
      <formula>AND(H74&gt;=50,H74&lt;&gt;"N/A",NOT(ISERROR(VALUE(H74))))</formula>
    </cfRule>
    <cfRule type="expression" dxfId="123" priority="6" stopIfTrue="1">
      <formula>NOT(OR(ISBLANK(H74),H74="N/A",ISERROR(VALUE(H74))))</formula>
    </cfRule>
  </conditionalFormatting>
  <conditionalFormatting sqref="H74">
    <cfRule type="cellIs" dxfId="122" priority="1" stopIfTrue="1" operator="equal">
      <formula>100</formula>
    </cfRule>
    <cfRule type="expression" dxfId="121" priority="2" stopIfTrue="1">
      <formula>AND(H74&gt;=50,H74&lt;&gt;"N/A",NOT(ISERROR(VALUE(H74))))</formula>
    </cfRule>
    <cfRule type="expression" dxfId="120" priority="3" stopIfTrue="1">
      <formula>NOT(OR(ISBLANK(H74),H74="N/A",ISERROR(VALUE(H74))))</formula>
    </cfRule>
  </conditionalFormatting>
  <dataValidations count="7">
    <dataValidation operator="greaterThanOrEqual" allowBlank="1" showInputMessage="1" showErrorMessage="1" sqref="W11"/>
    <dataValidation type="list" allowBlank="1" showInputMessage="1" showErrorMessage="1" sqref="B13:B86">
      <formula1>"All, D, T, O, M, C, D&amp;M, D&amp;C&amp;T, D&amp;C&amp;M, D&amp;M&amp;T"</formula1>
    </dataValidation>
    <dataValidation type="list" allowBlank="1" showInputMessage="1" showErrorMessage="1" sqref="B12">
      <formula1>"QuestionType"</formula1>
    </dataValidation>
    <dataValidation type="list" allowBlank="1" showInputMessage="1" showErrorMessage="1" sqref="K13:V26 K28:V51 K53:V59 K61:V69">
      <formula1>"100,50,0,N/A,&lt;&gt;"</formula1>
    </dataValidation>
    <dataValidation type="date" operator="greaterThanOrEqual" allowBlank="1" showInputMessage="1" showErrorMessage="1" sqref="K11:V11">
      <formula1>1</formula1>
    </dataValidation>
    <dataValidation type="custom" allowBlank="1" showErrorMessage="1" errorTitle="Input error!" error="You cannot enter value for this parent item!" sqref="J60:V60 J27:V27 J52:V52 J77:V77 J82:V82">
      <formula1>"Parent Item"</formula1>
    </dataValidation>
    <dataValidation type="custom" allowBlank="1" showErrorMessage="1" errorTitle="Input error!" error="You cannot enter value for this cell!" sqref="J70:V76 J78:V81 J83:V86">
      <formula1>"Locked Item"</formula1>
    </dataValidation>
  </dataValidations>
  <pageMargins left="0.43307086614173229" right="0.27559055118110237" top="0.47244094488188981" bottom="0.59055118110236227" header="0.31496062992125984" footer="0.31496062992125984"/>
  <pageSetup paperSize="9" scale="40" orientation="landscape" horizontalDpi="300" verticalDpi="300" r:id="rId1"/>
  <headerFooter alignWithMargins="0">
    <oddFooter>&amp;L02e-CL/CL/HDCV/FSOFT v2/3&amp;CInternal use&amp;R&amp;P/&amp;N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filterMode="1">
    <tabColor indexed="49"/>
  </sheetPr>
  <dimension ref="A1:W47"/>
  <sheetViews>
    <sheetView showGridLines="0" topLeftCell="A29" zoomScale="80" zoomScaleNormal="80" workbookViewId="0">
      <selection activeCell="H22" sqref="H22"/>
    </sheetView>
  </sheetViews>
  <sheetFormatPr defaultColWidth="9.140625" defaultRowHeight="12.75" x14ac:dyDescent="0.2"/>
  <cols>
    <col min="1" max="1" width="8.140625" style="177" customWidth="1"/>
    <col min="2" max="2" width="10" style="177" customWidth="1"/>
    <col min="3" max="3" width="13.28515625" style="206" customWidth="1"/>
    <col min="4" max="4" width="12.140625" style="177" customWidth="1"/>
    <col min="5" max="5" width="34.7109375" style="185" customWidth="1"/>
    <col min="6" max="6" width="41" style="185" customWidth="1"/>
    <col min="7" max="7" width="41.140625" style="185" customWidth="1"/>
    <col min="8" max="8" width="35.5703125" style="186" customWidth="1"/>
    <col min="9" max="9" width="15.42578125" style="187" customWidth="1"/>
    <col min="10" max="10" width="13" style="177" customWidth="1"/>
    <col min="11" max="11" width="12.7109375" style="177" customWidth="1"/>
    <col min="12" max="13" width="10.7109375" style="177" customWidth="1"/>
    <col min="14" max="14" width="11.42578125" style="177" customWidth="1"/>
    <col min="15" max="16384" width="9.140625" style="177"/>
  </cols>
  <sheetData>
    <row r="1" spans="1:23" s="197" customFormat="1" ht="20.25" x14ac:dyDescent="0.2">
      <c r="A1" s="196"/>
      <c r="B1" s="196"/>
      <c r="C1" s="202" t="s">
        <v>385</v>
      </c>
      <c r="D1" s="196"/>
      <c r="E1" s="198"/>
      <c r="F1" s="198"/>
      <c r="G1" s="198"/>
    </row>
    <row r="2" spans="1:23" x14ac:dyDescent="0.2">
      <c r="C2" s="4" t="s">
        <v>65</v>
      </c>
      <c r="H2" s="177"/>
      <c r="I2" s="177"/>
    </row>
    <row r="3" spans="1:23" s="76" customFormat="1" x14ac:dyDescent="0.2">
      <c r="C3" s="203" t="s">
        <v>340</v>
      </c>
      <c r="D3" s="79" t="s">
        <v>316</v>
      </c>
      <c r="E3" s="79" t="s">
        <v>647</v>
      </c>
      <c r="F3" s="81" t="s">
        <v>289</v>
      </c>
      <c r="G3" s="81" t="s">
        <v>283</v>
      </c>
      <c r="H3" s="81" t="s">
        <v>284</v>
      </c>
      <c r="I3" s="80" t="s">
        <v>286</v>
      </c>
      <c r="J3" s="82" t="s">
        <v>648</v>
      </c>
      <c r="K3" s="80" t="s">
        <v>649</v>
      </c>
      <c r="L3" s="80" t="s">
        <v>285</v>
      </c>
      <c r="M3" s="80" t="s">
        <v>650</v>
      </c>
      <c r="N3" s="80" t="s">
        <v>651</v>
      </c>
      <c r="O3" s="80" t="s">
        <v>652</v>
      </c>
      <c r="P3" s="80" t="s">
        <v>380</v>
      </c>
      <c r="Q3" s="80" t="s">
        <v>970</v>
      </c>
    </row>
    <row r="4" spans="1:23" s="70" customFormat="1" x14ac:dyDescent="0.2">
      <c r="C4" s="16" t="s">
        <v>63</v>
      </c>
      <c r="D4" s="13" t="str">
        <f>IFERROR(SUMPRODUCT(ISNUMBER(M_CKDATE)*ISNUMBER(M_CKDATA)*M_INTYPE,M_CKDATA)/SUMPRODUCT(ISNUMBER(M_CKDATE)*ISNUMBER(M_CKDATA)*M_INTYPE),"")</f>
        <v/>
      </c>
      <c r="E4" s="30" t="str">
        <f>IFERROR(SUMPRODUCT(ISNUMBER(M_CKDATE)*(M_CAT=E$3)*ISNUMBER(M_CKDATA)*M_INTYPE,M_CKDATA)/SUMPRODUCT(ISNUMBER(M_CKDATE)*(M_CAT=E$3)*ISNUMBER(M_CKDATA)*M_INTYPE),"")</f>
        <v/>
      </c>
      <c r="F4" s="255" t="str">
        <f>IFERROR(SUMPRODUCT(ISNUMBER(M_CKDATE)*(M_CAT=F$3)*ISNUMBER(M_CKDATA)*M_INTYPE,M_CKDATA)/SUMPRODUCT(ISNUMBER(M_CKDATE)*(M_CAT=F$3)*ISNUMBER(M_CKDATA)*M_INTYPE),"")</f>
        <v/>
      </c>
      <c r="G4" s="255" t="str">
        <f>IFERROR(SUMPRODUCT(ISNUMBER(M_CKDATE)*(M_CAT=G$3)*ISNUMBER(M_CKDATA)*M_INTYPE,M_CKDATA)/SUMPRODUCT(ISNUMBER(M_CKDATE)*(M_CAT=G$3)*ISNUMBER(M_CKDATA)*M_INTYPE),"")</f>
        <v/>
      </c>
      <c r="H4" s="255" t="str">
        <f>IFERROR(SUMPRODUCT(ISNUMBER(M_CKDATE)*(M_CAT=H$3)*ISNUMBER(M_CKDATA)*M_INTYPE,M_CKDATA)/SUMPRODUCT(ISNUMBER(M_CKDATE)*(M_CAT=H$3)*ISNUMBER(M_CKDATA)*M_INTYPE),"")</f>
        <v/>
      </c>
      <c r="I4" s="255" t="str">
        <f>IFERROR(SUMPRODUCT(ISNUMBER(M_CKDATE)*(M_CAT=I$3)*ISNUMBER(M_CKDATA)*M_INTYPE,M_CKDATA)/SUMPRODUCT(ISNUMBER(M_CKDATE)*(M_CAT=I$3)*ISNUMBER(M_CKDATA)*M_INTYPE),"")</f>
        <v/>
      </c>
      <c r="J4" s="255" t="str">
        <f>IFERROR(SUMPRODUCT(ISNUMBER(M_CKDATE)*(M_CAT=J$3)*ISNUMBER(M_CKDATA)*M_INTYPE,M_CKDATA)/SUMPRODUCT(ISNUMBER(M_CKDATE)*(M_CAT=J$3)*ISNUMBER(M_CKDATA)*M_INTYPE),"")</f>
        <v/>
      </c>
      <c r="K4" s="255" t="str">
        <f>IFERROR(SUMPRODUCT(ISNUMBER(M_CKDATE)*(M_CAT=K$3)*ISNUMBER(M_CKDATA)*M_INTYPE,M_CKDATA)/SUMPRODUCT(ISNUMBER(M_CKDATE)*(M_CAT=K$3)*ISNUMBER(M_CKDATA)*M_INTYPE),"")</f>
        <v/>
      </c>
      <c r="L4" s="255" t="str">
        <f>IFERROR(SUMPRODUCT(ISNUMBER(M_CKDATE)*(M_CAT=L$3)*ISNUMBER(M_CKDATA)*M_INTYPE,M_CKDATA)/SUMPRODUCT(ISNUMBER(M_CKDATE)*(M_CAT=L$3)*ISNUMBER(M_CKDATA)*M_INTYPE),"")</f>
        <v/>
      </c>
      <c r="M4" s="255" t="str">
        <f>IFERROR(SUMPRODUCT(ISNUMBER(M_CKDATE)*(M_CAT=M$3)*ISNUMBER(M_CKDATA)*M_INTYPE,M_CKDATA)/SUMPRODUCT(ISNUMBER(M_CKDATE)*(M_CAT=M$3)*ISNUMBER(M_CKDATA)*M_INTYPE),"")</f>
        <v/>
      </c>
      <c r="N4" s="255" t="str">
        <f>IFERROR(SUMPRODUCT(ISNUMBER(M_CKDATE)*(M_CAT=N$3)*ISNUMBER(M_CKDATA)*M_INTYPE,M_CKDATA)/SUMPRODUCT(ISNUMBER(M_CKDATE)*(M_CAT=N$3)*ISNUMBER(M_CKDATA)*M_INTYPE),"")</f>
        <v/>
      </c>
      <c r="O4" s="255" t="str">
        <f>IFERROR(SUMPRODUCT(ISNUMBER(M_CKDATE)*(M_CAT=O$3)*ISNUMBER(M_CKDATA)*M_INTYPE,M_CKDATA)/SUMPRODUCT(ISNUMBER(M_CKDATE)*(M_CAT=O$3)*ISNUMBER(M_CKDATA)*M_INTYPE),"")</f>
        <v/>
      </c>
      <c r="P4" s="255" t="str">
        <f>IFERROR(SUMPRODUCT(ISNUMBER(M_CKDATE)*(M_CAT=P$3)*ISNUMBER(M_CKDATA)*M_INTYPE,M_CKDATA)/SUMPRODUCT(ISNUMBER(M_CKDATE)*(M_CAT=P$3)*ISNUMBER(M_CKDATA)*M_INTYPE),"")</f>
        <v/>
      </c>
      <c r="Q4" s="305" t="str">
        <f>IFERROR(SUMPRODUCT(ISNUMBER(M_CKDATE)*(M_CAT=Q$3)*ISNUMBER(M_CKDATA)*M_INTYPE,M_CKDATA)/SUMPRODUCT(ISNUMBER(M_CKDATE)*(M_CAT=Q$3)*ISNUMBER(M_CKDATA)*M_INTYPE),"")</f>
        <v/>
      </c>
    </row>
    <row r="5" spans="1:23" s="70" customFormat="1" x14ac:dyDescent="0.2">
      <c r="C5" s="16" t="s">
        <v>351</v>
      </c>
      <c r="D5" s="13" t="str">
        <f>IFERROR(SUMPRODUCT(ISNUMBER(M_CKDATE)*ISNUMBER(M_CKDATA)*M_SM*M_INTYPE,M_CKDATA)/SUMPRODUCT(ISNUMBER(M_CKDATE)*ISNUMBER(M_CKDATA)*M_SM*M_INTYPE),"")</f>
        <v/>
      </c>
      <c r="E5" s="30" t="str">
        <f>IFERROR(SUMPRODUCT(ISNUMBER(M_CKDATE)*(M_CAT=E$3)*ISNUMBER(M_CKDATA)*M_SM*M_INTYPE,M_CKDATA)/SUMPRODUCT(ISNUMBER(M_CKDATE)*(M_CAT=E$3)*ISNUMBER(M_CKDATA)*M_SM*M_INTYPE),"")</f>
        <v/>
      </c>
      <c r="F5" s="255" t="str">
        <f>IFERROR(SUMPRODUCT(ISNUMBER(M_CKDATE)*(M_CAT=F$3)*ISNUMBER(M_CKDATA)*M_SM*M_INTYPE,M_CKDATA)/SUMPRODUCT(ISNUMBER(M_CKDATE)*(M_CAT=F$3)*ISNUMBER(M_CKDATA)*M_SM*M_INTYPE),"")</f>
        <v/>
      </c>
      <c r="G5" s="255" t="str">
        <f>IFERROR(SUMPRODUCT(ISNUMBER(M_CKDATE)*(M_CAT=G$3)*ISNUMBER(M_CKDATA)*M_SM*M_INTYPE,M_CKDATA)/SUMPRODUCT(ISNUMBER(M_CKDATE)*(M_CAT=G$3)*ISNUMBER(M_CKDATA)*M_SM*M_INTYPE),"")</f>
        <v/>
      </c>
      <c r="H5" s="255" t="str">
        <f>IFERROR(SUMPRODUCT(ISNUMBER(M_CKDATE)*(M_CAT=H$3)*ISNUMBER(M_CKDATA)*M_SM*M_INTYPE,M_CKDATA)/SUMPRODUCT(ISNUMBER(M_CKDATE)*(M_CAT=H$3)*ISNUMBER(M_CKDATA)*M_SM*M_INTYPE),"")</f>
        <v/>
      </c>
      <c r="I5" s="255" t="str">
        <f>IFERROR(SUMPRODUCT(ISNUMBER(M_CKDATE)*(M_CAT=I$3)*ISNUMBER(M_CKDATA)*M_SM*M_INTYPE,M_CKDATA)/SUMPRODUCT(ISNUMBER(M_CKDATE)*(M_CAT=I$3)*ISNUMBER(M_CKDATA)*M_SM*M_INTYPE),"")</f>
        <v/>
      </c>
      <c r="J5" s="255" t="str">
        <f>IFERROR(SUMPRODUCT(ISNUMBER(M_CKDATE)*(M_CAT=J$3)*ISNUMBER(M_CKDATA)*M_SM*M_INTYPE,M_CKDATA)/SUMPRODUCT(ISNUMBER(M_CKDATE)*(M_CAT=J$3)*ISNUMBER(M_CKDATA)*M_SM*M_INTYPE),"")</f>
        <v/>
      </c>
      <c r="K5" s="255" t="str">
        <f>IFERROR(SUMPRODUCT(ISNUMBER(M_CKDATE)*(M_CAT=K$3)*ISNUMBER(M_CKDATA)*M_SM*M_INTYPE,M_CKDATA)/SUMPRODUCT(ISNUMBER(M_CKDATE)*(M_CAT=K$3)*ISNUMBER(M_CKDATA)*M_SM*M_INTYPE),"")</f>
        <v/>
      </c>
      <c r="L5" s="255" t="str">
        <f>IFERROR(SUMPRODUCT(ISNUMBER(M_CKDATE)*(M_CAT=L$3)*ISNUMBER(M_CKDATA)*M_SM*M_INTYPE,M_CKDATA)/SUMPRODUCT(ISNUMBER(M_CKDATE)*(M_CAT=L$3)*ISNUMBER(M_CKDATA)*M_SM*M_INTYPE),"")</f>
        <v/>
      </c>
      <c r="M5" s="255" t="str">
        <f>IFERROR(SUMPRODUCT(ISNUMBER(M_CKDATE)*(M_CAT=M$3)*ISNUMBER(M_CKDATA)*M_SM*M_INTYPE,M_CKDATA)/SUMPRODUCT(ISNUMBER(M_CKDATE)*(M_CAT=M$3)*ISNUMBER(M_CKDATA)*M_SM*M_INTYPE),"")</f>
        <v/>
      </c>
      <c r="N5" s="255" t="str">
        <f>IFERROR(SUMPRODUCT(ISNUMBER(M_CKDATE)*(M_CAT=N$3)*ISNUMBER(M_CKDATA)*M_SM*M_INTYPE,M_CKDATA)/SUMPRODUCT(ISNUMBER(M_CKDATE)*(M_CAT=N$3)*ISNUMBER(M_CKDATA)*M_SM*M_INTYPE),"")</f>
        <v/>
      </c>
      <c r="O5" s="255" t="str">
        <f>IFERROR(SUMPRODUCT(ISNUMBER(M_CKDATE)*(M_CAT=O$3)*ISNUMBER(M_CKDATA)*M_SM*M_INTYPE,M_CKDATA)/SUMPRODUCT(ISNUMBER(M_CKDATE)*(M_CAT=O$3)*ISNUMBER(M_CKDATA)*M_SM*M_INTYPE),"")</f>
        <v/>
      </c>
      <c r="P5" s="255" t="str">
        <f>IFERROR(SUMPRODUCT(ISNUMBER(M_CKDATE)*(M_CAT=P$3)*ISNUMBER(M_CKDATA)*M_SM*M_INTYPE,M_CKDATA)/SUMPRODUCT(ISNUMBER(M_CKDATE)*(M_CAT=P$3)*ISNUMBER(M_CKDATA)*M_SM*M_INTYPE),"")</f>
        <v/>
      </c>
      <c r="Q5" s="305" t="str">
        <f>IFERROR(SUMPRODUCT(ISNUMBER(M_CKDATE)*(M_CAT=Q$3)*ISNUMBER(M_CKDATA)*M_SM*M_INTYPE,M_CKDATA)/SUMPRODUCT(ISNUMBER(M_CKDATE)*(M_CAT=Q$3)*ISNUMBER(M_CKDATA)*M_SM*M_INTYPE),"")</f>
        <v/>
      </c>
    </row>
    <row r="6" spans="1:23" s="70" customFormat="1" x14ac:dyDescent="0.2">
      <c r="C6" s="16" t="s">
        <v>352</v>
      </c>
      <c r="D6" s="13" t="str">
        <f>IFERROR(SUMPRODUCT(ISNUMBER(M_CKDATE)*ISNUMBER(M_CKDATA)*M_PM*M_INTYPE,M_CKDATA)/SUMPRODUCT(ISNUMBER(M_CKDATE)*ISNUMBER(M_CKDATA)*M_PM*M_INTYPE),"")</f>
        <v/>
      </c>
      <c r="E6" s="30" t="str">
        <f>IFERROR(SUMPRODUCT(ISNUMBER(M_CKDATE)*(M_CAT=E$3)*ISNUMBER(M_CKDATA)*M_PM*M_INTYPE,M_CKDATA)/SUMPRODUCT(ISNUMBER(M_CKDATE)*(M_CAT=E$3)*ISNUMBER(M_CKDATA)*M_PM*M_INTYPE),"")</f>
        <v/>
      </c>
      <c r="F6" s="255" t="str">
        <f>IFERROR(SUMPRODUCT(ISNUMBER(M_CKDATE)*(M_CAT=F$3)*ISNUMBER(M_CKDATA)*M_PM*M_INTYPE,M_CKDATA)/SUMPRODUCT(ISNUMBER(M_CKDATE)*(M_CAT=F$3)*ISNUMBER(M_CKDATA)*M_PM*M_INTYPE),"")</f>
        <v/>
      </c>
      <c r="G6" s="255" t="str">
        <f>IFERROR(SUMPRODUCT(ISNUMBER(M_CKDATE)*(M_CAT=G$3)*ISNUMBER(M_CKDATA)*M_PM*M_INTYPE,M_CKDATA)/SUMPRODUCT(ISNUMBER(M_CKDATE)*(M_CAT=G$3)*ISNUMBER(M_CKDATA)*M_PM*M_INTYPE),"")</f>
        <v/>
      </c>
      <c r="H6" s="255" t="str">
        <f>IFERROR(SUMPRODUCT(ISNUMBER(M_CKDATE)*(M_CAT=H$3)*ISNUMBER(M_CKDATA)*M_PM*M_INTYPE,M_CKDATA)/SUMPRODUCT(ISNUMBER(M_CKDATE)*(M_CAT=H$3)*ISNUMBER(M_CKDATA)*M_PM*M_INTYPE),"")</f>
        <v/>
      </c>
      <c r="I6" s="255" t="str">
        <f>IFERROR(SUMPRODUCT(ISNUMBER(M_CKDATE)*(M_CAT=I$3)*ISNUMBER(M_CKDATA)*M_PM*M_INTYPE,M_CKDATA)/SUMPRODUCT(ISNUMBER(M_CKDATE)*(M_CAT=I$3)*ISNUMBER(M_CKDATA)*M_PM*M_INTYPE),"")</f>
        <v/>
      </c>
      <c r="J6" s="255" t="str">
        <f>IFERROR(SUMPRODUCT(ISNUMBER(M_CKDATE)*(M_CAT=J$3)*ISNUMBER(M_CKDATA)*M_PM*M_INTYPE,M_CKDATA)/SUMPRODUCT(ISNUMBER(M_CKDATE)*(M_CAT=J$3)*ISNUMBER(M_CKDATA)*M_PM*M_INTYPE),"")</f>
        <v/>
      </c>
      <c r="K6" s="255" t="str">
        <f>IFERROR(SUMPRODUCT(ISNUMBER(M_CKDATE)*(M_CAT=K$3)*ISNUMBER(M_CKDATA)*M_PM*M_INTYPE,M_CKDATA)/SUMPRODUCT(ISNUMBER(M_CKDATE)*(M_CAT=K$3)*ISNUMBER(M_CKDATA)*M_PM*M_INTYPE),"")</f>
        <v/>
      </c>
      <c r="L6" s="255" t="str">
        <f>IFERROR(SUMPRODUCT(ISNUMBER(M_CKDATE)*(M_CAT=L$3)*ISNUMBER(M_CKDATA)*M_PM*M_INTYPE,M_CKDATA)/SUMPRODUCT(ISNUMBER(M_CKDATE)*(M_CAT=L$3)*ISNUMBER(M_CKDATA)*M_PM*M_INTYPE),"")</f>
        <v/>
      </c>
      <c r="M6" s="255" t="str">
        <f>IFERROR(SUMPRODUCT(ISNUMBER(M_CKDATE)*(M_CAT=M$3)*ISNUMBER(M_CKDATA)*M_PM*M_INTYPE,M_CKDATA)/SUMPRODUCT(ISNUMBER(M_CKDATE)*(M_CAT=M$3)*ISNUMBER(M_CKDATA)*M_PM*M_INTYPE),"")</f>
        <v/>
      </c>
      <c r="N6" s="255" t="str">
        <f>IFERROR(SUMPRODUCT(ISNUMBER(M_CKDATE)*(M_CAT=N$3)*ISNUMBER(M_CKDATA)*M_PM*M_INTYPE,M_CKDATA)/SUMPRODUCT(ISNUMBER(M_CKDATE)*(M_CAT=N$3)*ISNUMBER(M_CKDATA)*M_PM*M_INTYPE),"")</f>
        <v/>
      </c>
      <c r="O6" s="255" t="str">
        <f>IFERROR(SUMPRODUCT(ISNUMBER(M_CKDATE)*(M_CAT=O$3)*ISNUMBER(M_CKDATA)*M_PM*M_INTYPE,M_CKDATA)/SUMPRODUCT(ISNUMBER(M_CKDATE)*(M_CAT=O$3)*ISNUMBER(M_CKDATA)*M_PM*M_INTYPE),"")</f>
        <v/>
      </c>
      <c r="P6" s="255" t="str">
        <f>IFERROR(SUMPRODUCT(ISNUMBER(M_CKDATE)*(M_CAT=P$3)*ISNUMBER(M_CKDATA)*M_PM*M_INTYPE,M_CKDATA)/SUMPRODUCT(ISNUMBER(M_CKDATE)*(M_CAT=P$3)*ISNUMBER(M_CKDATA)*M_PM*M_INTYPE),"")</f>
        <v/>
      </c>
      <c r="Q6" s="305" t="str">
        <f>IFERROR(SUMPRODUCT(ISNUMBER(M_CKDATE)*(M_CAT=Q$3)*ISNUMBER(M_CKDATA)*M_PM*M_INTYPE,M_CKDATA)/SUMPRODUCT(ISNUMBER(M_CKDATE)*(M_CAT=Q$3)*ISNUMBER(M_CKDATA)*M_PM*M_INTYPE),"")</f>
        <v/>
      </c>
    </row>
    <row r="7" spans="1:23" x14ac:dyDescent="0.2">
      <c r="A7" s="176"/>
      <c r="B7" s="176"/>
      <c r="C7" s="3"/>
      <c r="D7" s="176"/>
      <c r="E7" s="199"/>
      <c r="F7" s="199"/>
      <c r="G7" s="199"/>
      <c r="H7" s="188"/>
      <c r="I7" s="189"/>
    </row>
    <row r="8" spans="1:23" x14ac:dyDescent="0.2">
      <c r="A8" s="176"/>
      <c r="B8" s="23"/>
      <c r="C8" s="204"/>
      <c r="D8" s="178"/>
      <c r="E8" s="179"/>
      <c r="F8" s="180"/>
      <c r="G8" s="199"/>
      <c r="H8" s="178"/>
      <c r="I8" s="480" t="s">
        <v>432</v>
      </c>
      <c r="J8" s="481"/>
      <c r="K8" s="13" t="str">
        <f>IF(ISNUMBER(K$11),IFERROR(SUMPRODUCT(ISNUMBER(M_CDATA)*M_INTYPE,M_CDATA)/SUMPRODUCT(ISNUMBER(M_CDATA)*M_INTYPE),""),"")</f>
        <v/>
      </c>
      <c r="L8" s="13" t="str">
        <f>IF(ISNUMBER(L$11),IFERROR(SUMPRODUCT(ISNUMBER(M_CDATA)*M_INTYPE,M_CDATA)/SUMPRODUCT(ISNUMBER(M_CDATA)*M_INTYPE),""),"")</f>
        <v/>
      </c>
      <c r="M8" s="13" t="str">
        <f>IF(ISNUMBER(M$11),IFERROR(SUMPRODUCT(ISNUMBER(M_CDATA)*M_INTYPE,M_CDATA)/SUMPRODUCT(ISNUMBER(M_CDATA)*M_INTYPE),""),"")</f>
        <v/>
      </c>
      <c r="N8" s="13" t="str">
        <f>IF(ISNUMBER(N$11),IFERROR(SUMPRODUCT(ISNUMBER(M_CDATA)*M_INTYPE,M_CDATA)/SUMPRODUCT(ISNUMBER(M_CDATA)*M_INTYPE),""),"")</f>
        <v/>
      </c>
      <c r="O8" s="13" t="str">
        <f>IF(ISNUMBER(O$11),IFERROR(SUMPRODUCT(ISNUMBER(M_CDATA)*M_INTYPE,M_CDATA)/SUMPRODUCT(ISNUMBER(M_CDATA)*M_INTYPE),""),"")</f>
        <v/>
      </c>
      <c r="P8" s="13" t="str">
        <f>IF(ISNUMBER(P$11),IFERROR(SUMPRODUCT(ISNUMBER(M_CDATA)*M_INTYPE,M_CDATA)/SUMPRODUCT(ISNUMBER(M_CDATA)*M_INTYPE),""),"")</f>
        <v/>
      </c>
      <c r="Q8" s="13" t="str">
        <f>IF(ISNUMBER(Q$11),IFERROR(SUMPRODUCT(ISNUMBER(M_CDATA)*M_INTYPE,M_CDATA)/SUMPRODUCT(ISNUMBER(M_CDATA)*M_INTYPE),""),"")</f>
        <v/>
      </c>
      <c r="R8" s="13" t="str">
        <f>IF(ISNUMBER(R$11),IFERROR(SUMPRODUCT(ISNUMBER(M_CDATA)*M_INTYPE,M_CDATA)/SUMPRODUCT(ISNUMBER(M_CDATA)*M_INTYPE),""),"")</f>
        <v/>
      </c>
      <c r="S8" s="13" t="str">
        <f>IF(ISNUMBER(S$11),IFERROR(SUMPRODUCT(ISNUMBER(M_CDATA)*M_INTYPE,M_CDATA)/SUMPRODUCT(ISNUMBER(M_CDATA)*M_INTYPE),""),"")</f>
        <v/>
      </c>
      <c r="T8" s="13" t="str">
        <f>IF(ISNUMBER(T$11),IFERROR(SUMPRODUCT(ISNUMBER(M_CDATA)*M_INTYPE,M_CDATA)/SUMPRODUCT(ISNUMBER(M_CDATA)*M_INTYPE),""),"")</f>
        <v/>
      </c>
      <c r="U8" s="13" t="str">
        <f>IF(ISNUMBER(U$11),IFERROR(SUMPRODUCT(ISNUMBER(M_CDATA)*M_INTYPE,M_CDATA)/SUMPRODUCT(ISNUMBER(M_CDATA)*M_INTYPE),""),"")</f>
        <v/>
      </c>
      <c r="V8" s="13" t="str">
        <f>IF(ISNUMBER(V$11),IFERROR(SUMPRODUCT(ISNUMBER(M_CDATA)*M_INTYPE,M_CDATA)/SUMPRODUCT(ISNUMBER(M_CDATA)*M_INTYPE),""),"")</f>
        <v/>
      </c>
      <c r="W8" s="74" t="str">
        <f>IF(OR(SUMPRODUCT(ISNUMBER(W15:W47)*($D$15:$D$47&lt;&gt;""))=0,NOT(ISNUMBER(W11))),"",SUMPRODUCT(ISNUMBER(W15:W47)*($D$15:$D$47&lt;&gt;""),W15:W47)/SUMPRODUCT(ISNUMBER(W15:W47)*($D$15:$D$47&lt;&gt;"")))</f>
        <v/>
      </c>
    </row>
    <row r="9" spans="1:23" x14ac:dyDescent="0.2">
      <c r="A9" s="176"/>
      <c r="B9" s="190"/>
      <c r="C9" s="11"/>
      <c r="D9" s="178"/>
      <c r="E9" s="178"/>
      <c r="F9" s="181"/>
      <c r="G9" s="199"/>
      <c r="H9" s="178"/>
      <c r="I9" s="480" t="s">
        <v>433</v>
      </c>
      <c r="J9" s="481"/>
      <c r="K9" s="13" t="str">
        <f>IF(ISNUMBER(K$11),IFERROR(SUMPRODUCT(ISNUMBER(M_CDATA)*M_SM*M_INTYPE,M_CDATA)/SUMPRODUCT(ISNUMBER(M_CDATA)*M_SM*M_INTYPE),""),"")</f>
        <v/>
      </c>
      <c r="L9" s="13" t="str">
        <f>IF(ISNUMBER(L$11),IFERROR(SUMPRODUCT(ISNUMBER(M_CDATA)*M_SM*M_INTYPE,M_CDATA)/SUMPRODUCT(ISNUMBER(M_CDATA)*M_SM*M_INTYPE),""),"")</f>
        <v/>
      </c>
      <c r="M9" s="13" t="str">
        <f>IF(ISNUMBER(M$11),IFERROR(SUMPRODUCT(ISNUMBER(M_CDATA)*M_SM*M_INTYPE,M_CDATA)/SUMPRODUCT(ISNUMBER(M_CDATA)*M_SM*M_INTYPE),""),"")</f>
        <v/>
      </c>
      <c r="N9" s="13" t="str">
        <f>IF(ISNUMBER(N$11),IFERROR(SUMPRODUCT(ISNUMBER(M_CDATA)*M_SM*M_INTYPE,M_CDATA)/SUMPRODUCT(ISNUMBER(M_CDATA)*M_SM*M_INTYPE),""),"")</f>
        <v/>
      </c>
      <c r="O9" s="13" t="str">
        <f>IF(ISNUMBER(O$11),IFERROR(SUMPRODUCT(ISNUMBER(M_CDATA)*M_SM*M_INTYPE,M_CDATA)/SUMPRODUCT(ISNUMBER(M_CDATA)*M_SM*M_INTYPE),""),"")</f>
        <v/>
      </c>
      <c r="P9" s="13" t="str">
        <f>IF(ISNUMBER(P$11),IFERROR(SUMPRODUCT(ISNUMBER(M_CDATA)*M_SM*M_INTYPE,M_CDATA)/SUMPRODUCT(ISNUMBER(M_CDATA)*M_SM*M_INTYPE),""),"")</f>
        <v/>
      </c>
      <c r="Q9" s="13" t="str">
        <f>IF(ISNUMBER(Q$11),IFERROR(SUMPRODUCT(ISNUMBER(M_CDATA)*M_SM*M_INTYPE,M_CDATA)/SUMPRODUCT(ISNUMBER(M_CDATA)*M_SM*M_INTYPE),""),"")</f>
        <v/>
      </c>
      <c r="R9" s="13" t="str">
        <f>IF(ISNUMBER(R$11),IFERROR(SUMPRODUCT(ISNUMBER(M_CDATA)*M_SM*M_INTYPE,M_CDATA)/SUMPRODUCT(ISNUMBER(M_CDATA)*M_SM*M_INTYPE),""),"")</f>
        <v/>
      </c>
      <c r="S9" s="13" t="str">
        <f>IF(ISNUMBER(S$11),IFERROR(SUMPRODUCT(ISNUMBER(M_CDATA)*M_SM*M_INTYPE,M_CDATA)/SUMPRODUCT(ISNUMBER(M_CDATA)*M_SM*M_INTYPE),""),"")</f>
        <v/>
      </c>
      <c r="T9" s="13" t="str">
        <f>IF(ISNUMBER(T$11),IFERROR(SUMPRODUCT(ISNUMBER(M_CDATA)*M_SM*M_INTYPE,M_CDATA)/SUMPRODUCT(ISNUMBER(M_CDATA)*M_SM*M_INTYPE),""),"")</f>
        <v/>
      </c>
      <c r="U9" s="13" t="str">
        <f>IF(ISNUMBER(U$11),IFERROR(SUMPRODUCT(ISNUMBER(M_CDATA)*M_SM*M_INTYPE,M_CDATA)/SUMPRODUCT(ISNUMBER(M_CDATA)*M_SM*M_INTYPE),""),"")</f>
        <v/>
      </c>
      <c r="V9" s="13" t="str">
        <f>IF(ISNUMBER(V$11),IFERROR(SUMPRODUCT(ISNUMBER(M_CDATA)*M_SM*M_INTYPE,M_CDATA)/SUMPRODUCT(ISNUMBER(M_CDATA)*M_SM*M_INTYPE),""),"")</f>
        <v/>
      </c>
      <c r="W9" s="74" t="str">
        <f>IF(OR(SUMPRODUCT(($E$15:$E$47="Senior Management Involvement")*ISNUMBER(W15:W47)*($D$15:$D$47&lt;&gt;""))=0,NOT(ISNUMBER(W11))),"",SUMPRODUCT(($E$15:$E$47="Senior Management Involvement")*ISNUMBER(W15:W47)*($D$15:$D$47&lt;&gt;""),W15:W47)/SUMPRODUCT(($E$15:$E$47="Senior Management Involvement")*ISNUMBER(W15:W47)*($D$15:$D$47&lt;&gt;"")))</f>
        <v/>
      </c>
    </row>
    <row r="10" spans="1:23" x14ac:dyDescent="0.2">
      <c r="A10" s="176"/>
      <c r="B10" s="190"/>
      <c r="C10" s="11"/>
      <c r="D10" s="178"/>
      <c r="E10" s="178"/>
      <c r="F10" s="200"/>
      <c r="G10" s="199"/>
      <c r="H10" s="182"/>
      <c r="I10" s="480" t="s">
        <v>434</v>
      </c>
      <c r="J10" s="481"/>
      <c r="K10" s="13" t="str">
        <f>IF(ISNUMBER(K$11),IFERROR(SUMPRODUCT(ISNUMBER(M_CDATA)*M_PM*M_INTYPE,M_CDATA)/SUMPRODUCT(ISNUMBER(M_CDATA)*M_PM*M_INTYPE),""),"")</f>
        <v/>
      </c>
      <c r="L10" s="13" t="str">
        <f>IF(ISNUMBER(L$11),IFERROR(SUMPRODUCT(ISNUMBER(M_CDATA)*M_PM*M_INTYPE,M_CDATA)/SUMPRODUCT(ISNUMBER(M_CDATA)*M_PM*M_INTYPE),""),"")</f>
        <v/>
      </c>
      <c r="M10" s="13" t="str">
        <f>IF(ISNUMBER(M$11),IFERROR(SUMPRODUCT(ISNUMBER(M_CDATA)*M_PM*M_INTYPE,M_CDATA)/SUMPRODUCT(ISNUMBER(M_CDATA)*M_PM*M_INTYPE),""),"")</f>
        <v/>
      </c>
      <c r="N10" s="13" t="str">
        <f>IF(ISNUMBER(N$11),IFERROR(SUMPRODUCT(ISNUMBER(M_CDATA)*M_PM*M_INTYPE,M_CDATA)/SUMPRODUCT(ISNUMBER(M_CDATA)*M_PM*M_INTYPE),""),"")</f>
        <v/>
      </c>
      <c r="O10" s="13" t="str">
        <f>IF(ISNUMBER(O$11),IFERROR(SUMPRODUCT(ISNUMBER(M_CDATA)*M_PM*M_INTYPE,M_CDATA)/SUMPRODUCT(ISNUMBER(M_CDATA)*M_PM*M_INTYPE),""),"")</f>
        <v/>
      </c>
      <c r="P10" s="13" t="str">
        <f>IF(ISNUMBER(P$11),IFERROR(SUMPRODUCT(ISNUMBER(M_CDATA)*M_PM*M_INTYPE,M_CDATA)/SUMPRODUCT(ISNUMBER(M_CDATA)*M_PM*M_INTYPE),""),"")</f>
        <v/>
      </c>
      <c r="Q10" s="13" t="str">
        <f>IF(ISNUMBER(Q$11),IFERROR(SUMPRODUCT(ISNUMBER(M_CDATA)*M_PM*M_INTYPE,M_CDATA)/SUMPRODUCT(ISNUMBER(M_CDATA)*M_PM*M_INTYPE),""),"")</f>
        <v/>
      </c>
      <c r="R10" s="13" t="str">
        <f>IF(ISNUMBER(R$11),IFERROR(SUMPRODUCT(ISNUMBER(M_CDATA)*M_PM*M_INTYPE,M_CDATA)/SUMPRODUCT(ISNUMBER(M_CDATA)*M_PM*M_INTYPE),""),"")</f>
        <v/>
      </c>
      <c r="S10" s="13" t="str">
        <f>IF(ISNUMBER(S$11),IFERROR(SUMPRODUCT(ISNUMBER(M_CDATA)*M_PM*M_INTYPE,M_CDATA)/SUMPRODUCT(ISNUMBER(M_CDATA)*M_PM*M_INTYPE),""),"")</f>
        <v/>
      </c>
      <c r="T10" s="13" t="str">
        <f>IF(ISNUMBER(T$11),IFERROR(SUMPRODUCT(ISNUMBER(M_CDATA)*M_PM*M_INTYPE,M_CDATA)/SUMPRODUCT(ISNUMBER(M_CDATA)*M_PM*M_INTYPE),""),"")</f>
        <v/>
      </c>
      <c r="U10" s="13" t="str">
        <f>IF(ISNUMBER(U$11),IFERROR(SUMPRODUCT(ISNUMBER(M_CDATA)*M_PM*M_INTYPE,M_CDATA)/SUMPRODUCT(ISNUMBER(M_CDATA)*M_PM*M_INTYPE),""),"")</f>
        <v/>
      </c>
      <c r="V10" s="13" t="str">
        <f>IF(ISNUMBER(V$11),IFERROR(SUMPRODUCT(ISNUMBER(M_CDATA)*M_PM*M_INTYPE,M_CDATA)/SUMPRODUCT(ISNUMBER(M_CDATA)*M_PM*M_INTYPE),""),"")</f>
        <v/>
      </c>
      <c r="W10" s="74" t="str">
        <f>IF(OR(SUMPRODUCT(($E$15:$E$47&lt;&gt;"Senior Management Involvement")*ISNUMBER(W15:W47)*($D$15:$D$47&lt;&gt;""))=0,NOT(ISNUMBER(W11))),"",SUMPRODUCT(($E$15:$E$47&lt;&gt;"Senior Management Involvement")*ISNUMBER(W15:W47)*($D$15:$D$47&lt;&gt;""),W15:W47)/SUMPRODUCT(($E$15:$E$47&lt;&gt;"Senior Management Involvement")*ISNUMBER(W15:W47)*($D$15:$D$47&lt;&gt;"")))</f>
        <v/>
      </c>
    </row>
    <row r="11" spans="1:23" x14ac:dyDescent="0.2">
      <c r="A11" s="176"/>
      <c r="B11" s="176"/>
      <c r="C11" s="4"/>
      <c r="D11" s="178"/>
      <c r="E11" s="178"/>
      <c r="F11" s="200"/>
      <c r="G11" s="200"/>
      <c r="H11" s="182"/>
      <c r="I11" s="480" t="s">
        <v>435</v>
      </c>
      <c r="J11" s="481"/>
      <c r="K11" s="17"/>
      <c r="L11" s="17"/>
      <c r="M11" s="17"/>
      <c r="N11" s="17"/>
      <c r="O11" s="17"/>
      <c r="P11" s="17"/>
      <c r="Q11" s="17"/>
      <c r="R11" s="17"/>
      <c r="S11" s="17"/>
      <c r="T11" s="17"/>
      <c r="U11" s="17"/>
      <c r="V11" s="17"/>
      <c r="W11" s="191"/>
    </row>
    <row r="12" spans="1:23" s="84" customFormat="1" ht="42.75" customHeight="1" x14ac:dyDescent="0.2">
      <c r="A12" s="83" t="s">
        <v>126</v>
      </c>
      <c r="B12" s="83" t="str">
        <f>MacroFilter_ColumnName</f>
        <v>QuestionType</v>
      </c>
      <c r="C12" s="83" t="s">
        <v>653</v>
      </c>
      <c r="D12" s="83" t="s">
        <v>684</v>
      </c>
      <c r="E12" s="83" t="s">
        <v>299</v>
      </c>
      <c r="F12" s="83" t="s">
        <v>293</v>
      </c>
      <c r="G12" s="83" t="s">
        <v>343</v>
      </c>
      <c r="H12" s="83" t="s">
        <v>402</v>
      </c>
      <c r="I12" s="192" t="s">
        <v>267</v>
      </c>
      <c r="J12" s="193" t="s">
        <v>404</v>
      </c>
      <c r="K12" s="194">
        <f>'Project Summary'!E30</f>
        <v>42490</v>
      </c>
      <c r="L12" s="194">
        <f>'Project Summary'!F30</f>
        <v>42521</v>
      </c>
      <c r="M12" s="194">
        <f>'Project Summary'!G30</f>
        <v>42551</v>
      </c>
      <c r="N12" s="194">
        <f>'Project Summary'!H30</f>
        <v>42582</v>
      </c>
      <c r="O12" s="194">
        <f>'Project Summary'!I30</f>
        <v>42613</v>
      </c>
      <c r="P12" s="194">
        <f>'Project Summary'!J30</f>
        <v>42643</v>
      </c>
      <c r="Q12" s="194">
        <f>'Project Summary'!K30</f>
        <v>42674</v>
      </c>
      <c r="R12" s="194">
        <f>'Project Summary'!L30</f>
        <v>42704</v>
      </c>
      <c r="S12" s="194">
        <f>'Project Summary'!M30</f>
        <v>42735</v>
      </c>
      <c r="T12" s="194">
        <f>'Project Summary'!N30</f>
        <v>42766</v>
      </c>
      <c r="U12" s="194">
        <f>'Project Summary'!O30</f>
        <v>42794</v>
      </c>
      <c r="V12" s="194">
        <f>'Project Summary'!P30</f>
        <v>42825</v>
      </c>
      <c r="W12" s="195" t="s">
        <v>472</v>
      </c>
    </row>
    <row r="13" spans="1:23" s="341" customFormat="1" ht="51" x14ac:dyDescent="0.2">
      <c r="A13" s="358" t="s">
        <v>153</v>
      </c>
      <c r="B13" s="309" t="s">
        <v>534</v>
      </c>
      <c r="C13" s="310">
        <v>2</v>
      </c>
      <c r="D13" s="348" t="s">
        <v>289</v>
      </c>
      <c r="E13" s="311" t="s">
        <v>322</v>
      </c>
      <c r="F13" s="310" t="s">
        <v>848</v>
      </c>
      <c r="G13" s="29" t="s">
        <v>992</v>
      </c>
      <c r="H13" s="311"/>
      <c r="I13" s="313"/>
      <c r="J13" s="314" t="str">
        <f>IFERROR(SUMPRODUCT(ISNUMBER(M_CKDATE)*ISNUMBER(M_RDATA),M_RDATA)/SUMPRODUCT(ISNUMBER(M_CKDATE)*ISNUMBER(M_RDATA)),"")</f>
        <v/>
      </c>
      <c r="K13" s="315"/>
      <c r="L13" s="315"/>
      <c r="M13" s="315"/>
      <c r="N13" s="315"/>
      <c r="O13" s="315"/>
      <c r="P13" s="315"/>
      <c r="Q13" s="315"/>
      <c r="R13" s="315"/>
      <c r="S13" s="315"/>
      <c r="T13" s="315"/>
      <c r="U13" s="315"/>
      <c r="V13" s="315"/>
      <c r="W13" s="317"/>
    </row>
    <row r="14" spans="1:23" s="341" customFormat="1" ht="51" hidden="1" x14ac:dyDescent="0.2">
      <c r="A14" s="358" t="s">
        <v>153</v>
      </c>
      <c r="B14" s="309" t="s">
        <v>537</v>
      </c>
      <c r="C14" s="310">
        <v>2</v>
      </c>
      <c r="D14" s="348" t="s">
        <v>289</v>
      </c>
      <c r="E14" s="311" t="s">
        <v>322</v>
      </c>
      <c r="F14" s="310" t="s">
        <v>849</v>
      </c>
      <c r="G14" s="29" t="s">
        <v>992</v>
      </c>
      <c r="H14" s="311"/>
      <c r="I14" s="313"/>
      <c r="J14" s="314" t="str">
        <f>IFERROR(SUMPRODUCT(ISNUMBER(M_CKDATE)*ISNUMBER(M_RDATA),M_RDATA)/SUMPRODUCT(ISNUMBER(M_CKDATE)*ISNUMBER(M_RDATA)),"")</f>
        <v/>
      </c>
      <c r="K14" s="315"/>
      <c r="L14" s="315"/>
      <c r="M14" s="315"/>
      <c r="N14" s="315"/>
      <c r="O14" s="315"/>
      <c r="P14" s="315"/>
      <c r="Q14" s="315"/>
      <c r="R14" s="315"/>
      <c r="S14" s="315"/>
      <c r="T14" s="315"/>
      <c r="U14" s="315"/>
      <c r="V14" s="315"/>
      <c r="W14" s="317"/>
    </row>
    <row r="15" spans="1:23" s="341" customFormat="1" ht="51" hidden="1" x14ac:dyDescent="0.2">
      <c r="A15" s="358" t="s">
        <v>153</v>
      </c>
      <c r="B15" s="309" t="s">
        <v>538</v>
      </c>
      <c r="C15" s="310">
        <v>2</v>
      </c>
      <c r="D15" s="348" t="s">
        <v>289</v>
      </c>
      <c r="E15" s="311" t="s">
        <v>322</v>
      </c>
      <c r="F15" s="310" t="s">
        <v>850</v>
      </c>
      <c r="G15" s="29" t="s">
        <v>992</v>
      </c>
      <c r="H15" s="311"/>
      <c r="I15" s="313"/>
      <c r="J15" s="314" t="str">
        <f>IFERROR(SUMPRODUCT(ISNUMBER(M_CKDATE)*ISNUMBER(M_RDATA),M_RDATA)/SUMPRODUCT(ISNUMBER(M_CKDATE)*ISNUMBER(M_RDATA)),"")</f>
        <v/>
      </c>
      <c r="K15" s="315"/>
      <c r="L15" s="315"/>
      <c r="M15" s="315"/>
      <c r="N15" s="315"/>
      <c r="O15" s="315"/>
      <c r="P15" s="315"/>
      <c r="Q15" s="315"/>
      <c r="R15" s="315"/>
      <c r="S15" s="315"/>
      <c r="T15" s="315"/>
      <c r="U15" s="315"/>
      <c r="V15" s="315"/>
      <c r="W15" s="317"/>
    </row>
    <row r="16" spans="1:23" s="341" customFormat="1" ht="114.75" x14ac:dyDescent="0.2">
      <c r="A16" s="358" t="s">
        <v>154</v>
      </c>
      <c r="B16" s="309" t="s">
        <v>533</v>
      </c>
      <c r="C16" s="310">
        <v>2</v>
      </c>
      <c r="D16" s="348" t="s">
        <v>289</v>
      </c>
      <c r="E16" s="311" t="s">
        <v>322</v>
      </c>
      <c r="F16" s="310" t="s">
        <v>851</v>
      </c>
      <c r="G16" s="330" t="s">
        <v>436</v>
      </c>
      <c r="H16" s="311"/>
      <c r="I16" s="313"/>
      <c r="J16" s="314" t="str">
        <f>IFERROR(SUMPRODUCT(ISNUMBER(M_CKDATE)*ISNUMBER(M_RDATA),M_RDATA)/SUMPRODUCT(ISNUMBER(M_CKDATE)*ISNUMBER(M_RDATA)),"")</f>
        <v/>
      </c>
      <c r="K16" s="315"/>
      <c r="L16" s="315"/>
      <c r="M16" s="315"/>
      <c r="N16" s="315"/>
      <c r="O16" s="315"/>
      <c r="P16" s="315"/>
      <c r="Q16" s="315"/>
      <c r="R16" s="315"/>
      <c r="S16" s="315"/>
      <c r="T16" s="315"/>
      <c r="U16" s="315"/>
      <c r="V16" s="315"/>
      <c r="W16" s="317"/>
    </row>
    <row r="17" spans="1:23" s="347" customFormat="1" ht="25.5" hidden="1" x14ac:dyDescent="0.2">
      <c r="A17" s="359" t="s">
        <v>555</v>
      </c>
      <c r="B17" s="309" t="s">
        <v>538</v>
      </c>
      <c r="C17" s="310">
        <v>2</v>
      </c>
      <c r="D17" s="348" t="s">
        <v>289</v>
      </c>
      <c r="E17" s="309" t="s">
        <v>322</v>
      </c>
      <c r="F17" s="310" t="s">
        <v>852</v>
      </c>
      <c r="G17" s="330" t="s">
        <v>602</v>
      </c>
      <c r="H17" s="309"/>
      <c r="I17" s="360"/>
      <c r="J17" s="314" t="str">
        <f>IFERROR(SUMPRODUCT(ISNUMBER(M_CKDATE)*ISNUMBER(M_RDATA),M_RDATA)/SUMPRODUCT(ISNUMBER(M_CKDATE)*ISNUMBER(M_RDATA)),"")</f>
        <v/>
      </c>
      <c r="K17" s="315"/>
      <c r="L17" s="315"/>
      <c r="M17" s="315"/>
      <c r="N17" s="315"/>
      <c r="O17" s="315"/>
      <c r="P17" s="315"/>
      <c r="Q17" s="315"/>
      <c r="R17" s="315"/>
      <c r="S17" s="315"/>
      <c r="T17" s="315"/>
      <c r="U17" s="315"/>
      <c r="V17" s="315"/>
      <c r="W17" s="317"/>
    </row>
    <row r="18" spans="1:23" s="347" customFormat="1" ht="25.5" hidden="1" x14ac:dyDescent="0.2">
      <c r="A18" s="359" t="s">
        <v>556</v>
      </c>
      <c r="B18" s="309" t="s">
        <v>538</v>
      </c>
      <c r="C18" s="310">
        <v>2</v>
      </c>
      <c r="D18" s="348" t="s">
        <v>289</v>
      </c>
      <c r="E18" s="309" t="s">
        <v>322</v>
      </c>
      <c r="F18" s="310" t="s">
        <v>601</v>
      </c>
      <c r="G18" s="310" t="s">
        <v>578</v>
      </c>
      <c r="H18" s="309"/>
      <c r="I18" s="360"/>
      <c r="J18" s="314" t="str">
        <f>IFERROR(SUMPRODUCT(ISNUMBER(M_CKDATE)*ISNUMBER(M_RDATA),M_RDATA)/SUMPRODUCT(ISNUMBER(M_CKDATE)*ISNUMBER(M_RDATA)),"")</f>
        <v/>
      </c>
      <c r="K18" s="315"/>
      <c r="L18" s="315"/>
      <c r="M18" s="315"/>
      <c r="N18" s="315"/>
      <c r="O18" s="315"/>
      <c r="P18" s="315"/>
      <c r="Q18" s="315"/>
      <c r="R18" s="315"/>
      <c r="S18" s="315"/>
      <c r="T18" s="315"/>
      <c r="U18" s="315"/>
      <c r="V18" s="315"/>
      <c r="W18" s="317"/>
    </row>
    <row r="19" spans="1:23" s="347" customFormat="1" ht="25.5" hidden="1" x14ac:dyDescent="0.2">
      <c r="A19" s="359" t="s">
        <v>557</v>
      </c>
      <c r="B19" s="309" t="s">
        <v>538</v>
      </c>
      <c r="C19" s="310">
        <v>2</v>
      </c>
      <c r="D19" s="348" t="s">
        <v>289</v>
      </c>
      <c r="E19" s="309" t="s">
        <v>322</v>
      </c>
      <c r="F19" s="310" t="s">
        <v>853</v>
      </c>
      <c r="G19" s="310" t="s">
        <v>578</v>
      </c>
      <c r="H19" s="309"/>
      <c r="I19" s="360"/>
      <c r="J19" s="314" t="str">
        <f>IFERROR(SUMPRODUCT(ISNUMBER(M_CKDATE)*ISNUMBER(M_RDATA),M_RDATA)/SUMPRODUCT(ISNUMBER(M_CKDATE)*ISNUMBER(M_RDATA)),"")</f>
        <v/>
      </c>
      <c r="K19" s="315"/>
      <c r="L19" s="315"/>
      <c r="M19" s="315"/>
      <c r="N19" s="315"/>
      <c r="O19" s="315"/>
      <c r="P19" s="315"/>
      <c r="Q19" s="315"/>
      <c r="R19" s="315"/>
      <c r="S19" s="315"/>
      <c r="T19" s="315"/>
      <c r="U19" s="315"/>
      <c r="V19" s="315"/>
      <c r="W19" s="317"/>
    </row>
    <row r="20" spans="1:23" s="341" customFormat="1" ht="156.75" customHeight="1" x14ac:dyDescent="0.2">
      <c r="A20" s="358" t="s">
        <v>155</v>
      </c>
      <c r="B20" s="309" t="s">
        <v>535</v>
      </c>
      <c r="C20" s="310">
        <v>2</v>
      </c>
      <c r="D20" s="348" t="s">
        <v>289</v>
      </c>
      <c r="E20" s="311" t="s">
        <v>322</v>
      </c>
      <c r="F20" s="310" t="s">
        <v>854</v>
      </c>
      <c r="G20" s="310" t="s">
        <v>603</v>
      </c>
      <c r="H20" s="311"/>
      <c r="I20" s="313"/>
      <c r="J20" s="314" t="str">
        <f>IFERROR(SUMPRODUCT(ISNUMBER(M_CKDATE)*ISNUMBER(M_RDATA),M_RDATA)/SUMPRODUCT(ISNUMBER(M_CKDATE)*ISNUMBER(M_RDATA)),"")</f>
        <v/>
      </c>
      <c r="K20" s="315"/>
      <c r="L20" s="315"/>
      <c r="M20" s="315"/>
      <c r="N20" s="315"/>
      <c r="O20" s="315"/>
      <c r="P20" s="315"/>
      <c r="Q20" s="315"/>
      <c r="R20" s="315"/>
      <c r="S20" s="315"/>
      <c r="T20" s="315"/>
      <c r="U20" s="315"/>
      <c r="V20" s="315"/>
      <c r="W20" s="317"/>
    </row>
    <row r="21" spans="1:23" s="395" customFormat="1" ht="221.25" customHeight="1" x14ac:dyDescent="0.2">
      <c r="A21" s="403" t="s">
        <v>156</v>
      </c>
      <c r="B21" s="378" t="s">
        <v>535</v>
      </c>
      <c r="C21" s="378">
        <v>2</v>
      </c>
      <c r="D21" s="403" t="s">
        <v>289</v>
      </c>
      <c r="E21" s="378" t="s">
        <v>324</v>
      </c>
      <c r="F21" s="378" t="s">
        <v>346</v>
      </c>
      <c r="G21" s="378" t="s">
        <v>947</v>
      </c>
      <c r="H21" s="404" t="s">
        <v>1013</v>
      </c>
      <c r="I21" s="381"/>
      <c r="J21" s="352" t="str">
        <f>IFERROR(SUMPRODUCT(ISNUMBER(M_CKDATE)*ISNUMBER(M_RDATA),M_RDATA)/SUMPRODUCT(ISNUMBER(M_CKDATE)*ISNUMBER(M_RDATA)),"")</f>
        <v/>
      </c>
      <c r="K21" s="357"/>
      <c r="L21" s="357"/>
      <c r="M21" s="357"/>
      <c r="N21" s="357"/>
      <c r="O21" s="357"/>
      <c r="P21" s="357"/>
      <c r="Q21" s="357"/>
      <c r="R21" s="357"/>
      <c r="S21" s="357"/>
      <c r="T21" s="357"/>
      <c r="U21" s="357"/>
      <c r="V21" s="357"/>
      <c r="W21" s="383"/>
    </row>
    <row r="22" spans="1:23" s="395" customFormat="1" ht="339.75" customHeight="1" x14ac:dyDescent="0.2">
      <c r="A22" s="403" t="s">
        <v>157</v>
      </c>
      <c r="B22" s="378" t="s">
        <v>535</v>
      </c>
      <c r="C22" s="378">
        <v>2</v>
      </c>
      <c r="D22" s="403" t="s">
        <v>289</v>
      </c>
      <c r="E22" s="378" t="s">
        <v>324</v>
      </c>
      <c r="F22" s="378" t="s">
        <v>325</v>
      </c>
      <c r="G22" s="378" t="s">
        <v>948</v>
      </c>
      <c r="H22" s="404" t="s">
        <v>1013</v>
      </c>
      <c r="I22" s="381"/>
      <c r="J22" s="352" t="str">
        <f>IFERROR(SUMPRODUCT(ISNUMBER(M_CKDATE)*ISNUMBER(M_RDATA),M_RDATA)/SUMPRODUCT(ISNUMBER(M_CKDATE)*ISNUMBER(M_RDATA)),"")</f>
        <v/>
      </c>
      <c r="K22" s="357"/>
      <c r="L22" s="357"/>
      <c r="M22" s="357"/>
      <c r="N22" s="357"/>
      <c r="O22" s="357"/>
      <c r="P22" s="357"/>
      <c r="Q22" s="357"/>
      <c r="R22" s="357"/>
      <c r="S22" s="357"/>
      <c r="T22" s="357"/>
      <c r="U22" s="357"/>
      <c r="V22" s="357"/>
      <c r="W22" s="383"/>
    </row>
    <row r="23" spans="1:23" s="341" customFormat="1" x14ac:dyDescent="0.2">
      <c r="A23" s="358" t="s">
        <v>14</v>
      </c>
      <c r="B23" s="309" t="s">
        <v>535</v>
      </c>
      <c r="C23" s="310">
        <v>2</v>
      </c>
      <c r="D23" s="348" t="s">
        <v>289</v>
      </c>
      <c r="E23" s="311" t="s">
        <v>326</v>
      </c>
      <c r="F23" s="335" t="s">
        <v>327</v>
      </c>
      <c r="G23" s="310"/>
      <c r="H23" s="311"/>
      <c r="I23" s="313"/>
      <c r="J23" s="315"/>
      <c r="K23" s="315"/>
      <c r="L23" s="315"/>
      <c r="M23" s="315"/>
      <c r="N23" s="315"/>
      <c r="O23" s="315"/>
      <c r="P23" s="315"/>
      <c r="Q23" s="315"/>
      <c r="R23" s="315"/>
      <c r="S23" s="315"/>
      <c r="T23" s="315"/>
      <c r="U23" s="315"/>
      <c r="V23" s="315"/>
      <c r="W23" s="317"/>
    </row>
    <row r="24" spans="1:23" s="341" customFormat="1" ht="25.5" x14ac:dyDescent="0.2">
      <c r="A24" s="358" t="s">
        <v>158</v>
      </c>
      <c r="B24" s="309" t="s">
        <v>535</v>
      </c>
      <c r="C24" s="310">
        <v>2</v>
      </c>
      <c r="D24" s="348" t="s">
        <v>289</v>
      </c>
      <c r="E24" s="311" t="s">
        <v>326</v>
      </c>
      <c r="F24" s="166" t="s">
        <v>584</v>
      </c>
      <c r="G24" s="310"/>
      <c r="H24" s="311"/>
      <c r="I24" s="313"/>
      <c r="J24" s="314" t="str">
        <f>IFERROR(SUMPRODUCT(ISNUMBER(M_CKDATE)*ISNUMBER(M_RDATA),M_RDATA)/SUMPRODUCT(ISNUMBER(M_CKDATE)*ISNUMBER(M_RDATA)),"")</f>
        <v/>
      </c>
      <c r="K24" s="315"/>
      <c r="L24" s="315"/>
      <c r="M24" s="315"/>
      <c r="N24" s="315"/>
      <c r="O24" s="315"/>
      <c r="P24" s="315"/>
      <c r="Q24" s="315"/>
      <c r="R24" s="315"/>
      <c r="S24" s="315"/>
      <c r="T24" s="315"/>
      <c r="U24" s="315"/>
      <c r="V24" s="315"/>
      <c r="W24" s="317"/>
    </row>
    <row r="25" spans="1:23" s="341" customFormat="1" ht="38.25" x14ac:dyDescent="0.2">
      <c r="A25" s="358" t="s">
        <v>159</v>
      </c>
      <c r="B25" s="309" t="s">
        <v>535</v>
      </c>
      <c r="C25" s="310">
        <v>2</v>
      </c>
      <c r="D25" s="348" t="s">
        <v>289</v>
      </c>
      <c r="E25" s="311" t="s">
        <v>326</v>
      </c>
      <c r="F25" s="166" t="s">
        <v>328</v>
      </c>
      <c r="G25" s="310"/>
      <c r="H25" s="311"/>
      <c r="I25" s="313"/>
      <c r="J25" s="314" t="str">
        <f>IFERROR(SUMPRODUCT(ISNUMBER(M_CKDATE)*ISNUMBER(M_RDATA),M_RDATA)/SUMPRODUCT(ISNUMBER(M_CKDATE)*ISNUMBER(M_RDATA)),"")</f>
        <v/>
      </c>
      <c r="K25" s="315"/>
      <c r="L25" s="315"/>
      <c r="M25" s="315"/>
      <c r="N25" s="315"/>
      <c r="O25" s="315"/>
      <c r="P25" s="315"/>
      <c r="Q25" s="315"/>
      <c r="R25" s="315"/>
      <c r="S25" s="315"/>
      <c r="T25" s="315"/>
      <c r="U25" s="315"/>
      <c r="V25" s="315"/>
      <c r="W25" s="317"/>
    </row>
    <row r="26" spans="1:23" s="341" customFormat="1" ht="38.25" x14ac:dyDescent="0.2">
      <c r="A26" s="358" t="s">
        <v>160</v>
      </c>
      <c r="B26" s="309" t="s">
        <v>535</v>
      </c>
      <c r="C26" s="310">
        <v>2</v>
      </c>
      <c r="D26" s="348" t="s">
        <v>289</v>
      </c>
      <c r="E26" s="311" t="s">
        <v>326</v>
      </c>
      <c r="F26" s="166" t="s">
        <v>15</v>
      </c>
      <c r="G26" s="310" t="s">
        <v>572</v>
      </c>
      <c r="H26" s="311"/>
      <c r="I26" s="313"/>
      <c r="J26" s="314" t="str">
        <f>IFERROR(SUMPRODUCT(ISNUMBER(M_CKDATE)*ISNUMBER(M_RDATA),M_RDATA)/SUMPRODUCT(ISNUMBER(M_CKDATE)*ISNUMBER(M_RDATA)),"")</f>
        <v/>
      </c>
      <c r="K26" s="315"/>
      <c r="L26" s="315"/>
      <c r="M26" s="315"/>
      <c r="N26" s="315"/>
      <c r="O26" s="315"/>
      <c r="P26" s="315"/>
      <c r="Q26" s="315"/>
      <c r="R26" s="315"/>
      <c r="S26" s="315"/>
      <c r="T26" s="315"/>
      <c r="U26" s="315"/>
      <c r="V26" s="315"/>
      <c r="W26" s="317"/>
    </row>
    <row r="27" spans="1:23" s="341" customFormat="1" ht="38.25" x14ac:dyDescent="0.2">
      <c r="A27" s="358" t="s">
        <v>161</v>
      </c>
      <c r="B27" s="309" t="s">
        <v>535</v>
      </c>
      <c r="C27" s="310">
        <v>2</v>
      </c>
      <c r="D27" s="348" t="s">
        <v>289</v>
      </c>
      <c r="E27" s="311" t="s">
        <v>326</v>
      </c>
      <c r="F27" s="166" t="s">
        <v>16</v>
      </c>
      <c r="G27" s="310"/>
      <c r="H27" s="311"/>
      <c r="I27" s="313"/>
      <c r="J27" s="314" t="str">
        <f>IFERROR(SUMPRODUCT(ISNUMBER(M_CKDATE)*ISNUMBER(M_RDATA),M_RDATA)/SUMPRODUCT(ISNUMBER(M_CKDATE)*ISNUMBER(M_RDATA)),"")</f>
        <v/>
      </c>
      <c r="K27" s="315"/>
      <c r="L27" s="315"/>
      <c r="M27" s="315"/>
      <c r="N27" s="315"/>
      <c r="O27" s="315"/>
      <c r="P27" s="315"/>
      <c r="Q27" s="315"/>
      <c r="R27" s="315"/>
      <c r="S27" s="315"/>
      <c r="T27" s="315"/>
      <c r="U27" s="315"/>
      <c r="V27" s="315"/>
      <c r="W27" s="317"/>
    </row>
    <row r="28" spans="1:23" s="341" customFormat="1" ht="25.5" x14ac:dyDescent="0.2">
      <c r="A28" s="358" t="s">
        <v>162</v>
      </c>
      <c r="B28" s="309" t="s">
        <v>535</v>
      </c>
      <c r="C28" s="310">
        <v>2</v>
      </c>
      <c r="D28" s="348" t="s">
        <v>289</v>
      </c>
      <c r="E28" s="311" t="s">
        <v>326</v>
      </c>
      <c r="F28" s="166" t="s">
        <v>329</v>
      </c>
      <c r="G28" s="310"/>
      <c r="H28" s="311"/>
      <c r="I28" s="313"/>
      <c r="J28" s="314" t="str">
        <f>IFERROR(SUMPRODUCT(ISNUMBER(M_CKDATE)*ISNUMBER(M_RDATA),M_RDATA)/SUMPRODUCT(ISNUMBER(M_CKDATE)*ISNUMBER(M_RDATA)),"")</f>
        <v/>
      </c>
      <c r="K28" s="315"/>
      <c r="L28" s="315"/>
      <c r="M28" s="315"/>
      <c r="N28" s="315"/>
      <c r="O28" s="315"/>
      <c r="P28" s="315"/>
      <c r="Q28" s="315"/>
      <c r="R28" s="315"/>
      <c r="S28" s="315"/>
      <c r="T28" s="315"/>
      <c r="U28" s="315"/>
      <c r="V28" s="315"/>
      <c r="W28" s="317"/>
    </row>
    <row r="29" spans="1:23" s="341" customFormat="1" ht="51" x14ac:dyDescent="0.2">
      <c r="A29" s="358" t="s">
        <v>163</v>
      </c>
      <c r="B29" s="309" t="s">
        <v>533</v>
      </c>
      <c r="C29" s="310">
        <v>2</v>
      </c>
      <c r="D29" s="348" t="s">
        <v>285</v>
      </c>
      <c r="E29" s="311" t="s">
        <v>326</v>
      </c>
      <c r="F29" s="310" t="s">
        <v>585</v>
      </c>
      <c r="G29" s="310" t="s">
        <v>573</v>
      </c>
      <c r="H29" s="311"/>
      <c r="I29" s="313"/>
      <c r="J29" s="314" t="str">
        <f>IFERROR(SUMPRODUCT(ISNUMBER(M_CKDATE)*ISNUMBER(M_RDATA),M_RDATA)/SUMPRODUCT(ISNUMBER(M_CKDATE)*ISNUMBER(M_RDATA)),"")</f>
        <v/>
      </c>
      <c r="K29" s="315"/>
      <c r="L29" s="315"/>
      <c r="M29" s="315"/>
      <c r="N29" s="315"/>
      <c r="O29" s="315"/>
      <c r="P29" s="315"/>
      <c r="Q29" s="315"/>
      <c r="R29" s="315"/>
      <c r="S29" s="315"/>
      <c r="T29" s="315"/>
      <c r="U29" s="315"/>
      <c r="V29" s="315"/>
      <c r="W29" s="317"/>
    </row>
    <row r="30" spans="1:23" s="341" customFormat="1" ht="76.5" x14ac:dyDescent="0.2">
      <c r="A30" s="358" t="s">
        <v>164</v>
      </c>
      <c r="B30" s="309" t="s">
        <v>533</v>
      </c>
      <c r="C30" s="310">
        <v>2</v>
      </c>
      <c r="D30" s="348" t="s">
        <v>284</v>
      </c>
      <c r="E30" s="311" t="s">
        <v>332</v>
      </c>
      <c r="F30" s="310" t="s">
        <v>257</v>
      </c>
      <c r="G30" s="310" t="s">
        <v>993</v>
      </c>
      <c r="H30" s="402" t="s">
        <v>1046</v>
      </c>
      <c r="I30" s="313"/>
      <c r="J30" s="314" t="str">
        <f>IFERROR(SUMPRODUCT(ISNUMBER(M_CKDATE)*ISNUMBER(M_RDATA),M_RDATA)/SUMPRODUCT(ISNUMBER(M_CKDATE)*ISNUMBER(M_RDATA)),"")</f>
        <v/>
      </c>
      <c r="K30" s="315"/>
      <c r="L30" s="315"/>
      <c r="M30" s="315"/>
      <c r="N30" s="315"/>
      <c r="O30" s="315"/>
      <c r="P30" s="315"/>
      <c r="Q30" s="315"/>
      <c r="R30" s="315"/>
      <c r="S30" s="315"/>
      <c r="T30" s="315"/>
      <c r="U30" s="315"/>
      <c r="V30" s="315"/>
      <c r="W30" s="317"/>
    </row>
    <row r="31" spans="1:23" s="347" customFormat="1" ht="25.5" x14ac:dyDescent="0.2">
      <c r="A31" s="359" t="s">
        <v>532</v>
      </c>
      <c r="B31" s="309" t="s">
        <v>533</v>
      </c>
      <c r="C31" s="310">
        <v>2</v>
      </c>
      <c r="D31" s="348" t="s">
        <v>284</v>
      </c>
      <c r="E31" s="309" t="s">
        <v>332</v>
      </c>
      <c r="F31" s="310" t="s">
        <v>586</v>
      </c>
      <c r="G31" s="310" t="s">
        <v>574</v>
      </c>
      <c r="H31" s="309"/>
      <c r="I31" s="360"/>
      <c r="J31" s="314" t="str">
        <f>IFERROR(SUMPRODUCT(ISNUMBER(M_CKDATE)*ISNUMBER(M_RDATA),M_RDATA)/SUMPRODUCT(ISNUMBER(M_CKDATE)*ISNUMBER(M_RDATA)),"")</f>
        <v/>
      </c>
      <c r="K31" s="315"/>
      <c r="L31" s="315"/>
      <c r="M31" s="315"/>
      <c r="N31" s="315"/>
      <c r="O31" s="315"/>
      <c r="P31" s="315"/>
      <c r="Q31" s="315"/>
      <c r="R31" s="315"/>
      <c r="S31" s="315"/>
      <c r="T31" s="315"/>
      <c r="U31" s="315"/>
      <c r="V31" s="315"/>
      <c r="W31" s="317"/>
    </row>
    <row r="32" spans="1:23" s="341" customFormat="1" ht="51" x14ac:dyDescent="0.2">
      <c r="A32" s="358" t="s">
        <v>165</v>
      </c>
      <c r="B32" s="309" t="s">
        <v>533</v>
      </c>
      <c r="C32" s="310">
        <v>2</v>
      </c>
      <c r="D32" s="348" t="s">
        <v>284</v>
      </c>
      <c r="E32" s="311" t="s">
        <v>332</v>
      </c>
      <c r="F32" s="310" t="s">
        <v>261</v>
      </c>
      <c r="G32" s="310" t="s">
        <v>994</v>
      </c>
      <c r="H32" s="311"/>
      <c r="I32" s="313"/>
      <c r="J32" s="314" t="str">
        <f>IFERROR(SUMPRODUCT(ISNUMBER(M_CKDATE)*ISNUMBER(M_RDATA),M_RDATA)/SUMPRODUCT(ISNUMBER(M_CKDATE)*ISNUMBER(M_RDATA)),"")</f>
        <v/>
      </c>
      <c r="K32" s="315"/>
      <c r="L32" s="315"/>
      <c r="M32" s="315"/>
      <c r="N32" s="315"/>
      <c r="O32" s="315"/>
      <c r="P32" s="315"/>
      <c r="Q32" s="315"/>
      <c r="R32" s="315"/>
      <c r="S32" s="315"/>
      <c r="T32" s="315"/>
      <c r="U32" s="315"/>
      <c r="V32" s="315"/>
      <c r="W32" s="317"/>
    </row>
    <row r="33" spans="1:23" s="341" customFormat="1" ht="25.5" x14ac:dyDescent="0.2">
      <c r="A33" s="358" t="s">
        <v>166</v>
      </c>
      <c r="B33" s="309" t="s">
        <v>533</v>
      </c>
      <c r="C33" s="310">
        <v>2</v>
      </c>
      <c r="D33" s="348" t="s">
        <v>284</v>
      </c>
      <c r="E33" s="311" t="s">
        <v>332</v>
      </c>
      <c r="F33" s="310" t="s">
        <v>587</v>
      </c>
      <c r="G33" s="310"/>
      <c r="H33" s="311"/>
      <c r="I33" s="313"/>
      <c r="J33" s="314" t="str">
        <f>IFERROR(SUMPRODUCT(ISNUMBER(M_CKDATE)*ISNUMBER(M_RDATA),M_RDATA)/SUMPRODUCT(ISNUMBER(M_CKDATE)*ISNUMBER(M_RDATA)),"")</f>
        <v/>
      </c>
      <c r="K33" s="315"/>
      <c r="L33" s="315"/>
      <c r="M33" s="315"/>
      <c r="N33" s="315"/>
      <c r="O33" s="315"/>
      <c r="P33" s="315"/>
      <c r="Q33" s="315"/>
      <c r="R33" s="315"/>
      <c r="S33" s="315"/>
      <c r="T33" s="315"/>
      <c r="U33" s="315"/>
      <c r="V33" s="315"/>
      <c r="W33" s="317"/>
    </row>
    <row r="34" spans="1:23" s="341" customFormat="1" ht="147" customHeight="1" x14ac:dyDescent="0.2">
      <c r="A34" s="358" t="s">
        <v>167</v>
      </c>
      <c r="B34" s="309" t="s">
        <v>533</v>
      </c>
      <c r="C34" s="310">
        <v>3</v>
      </c>
      <c r="D34" s="348" t="s">
        <v>647</v>
      </c>
      <c r="E34" s="311" t="s">
        <v>338</v>
      </c>
      <c r="F34" s="310" t="s">
        <v>857</v>
      </c>
      <c r="G34" s="310" t="s">
        <v>995</v>
      </c>
      <c r="H34" s="311"/>
      <c r="I34" s="313"/>
      <c r="J34" s="314" t="str">
        <f>IFERROR(SUMPRODUCT(ISNUMBER(M_CKDATE)*ISNUMBER(M_RDATA),M_RDATA)/SUMPRODUCT(ISNUMBER(M_CKDATE)*ISNUMBER(M_RDATA)),"")</f>
        <v/>
      </c>
      <c r="K34" s="315"/>
      <c r="L34" s="315"/>
      <c r="M34" s="315"/>
      <c r="N34" s="315"/>
      <c r="O34" s="315"/>
      <c r="P34" s="315"/>
      <c r="Q34" s="315"/>
      <c r="R34" s="315"/>
      <c r="S34" s="315"/>
      <c r="T34" s="315"/>
      <c r="U34" s="315"/>
      <c r="V34" s="315"/>
      <c r="W34" s="317"/>
    </row>
    <row r="35" spans="1:23" s="341" customFormat="1" ht="111.75" customHeight="1" x14ac:dyDescent="0.2">
      <c r="A35" s="358" t="s">
        <v>168</v>
      </c>
      <c r="B35" s="309" t="s">
        <v>533</v>
      </c>
      <c r="C35" s="310"/>
      <c r="D35" s="348" t="s">
        <v>970</v>
      </c>
      <c r="E35" s="311" t="s">
        <v>335</v>
      </c>
      <c r="F35" s="310" t="s">
        <v>604</v>
      </c>
      <c r="G35" s="310" t="s">
        <v>855</v>
      </c>
      <c r="H35" s="311"/>
      <c r="I35" s="313"/>
      <c r="J35" s="314" t="str">
        <f>IFERROR(SUMPRODUCT(ISNUMBER(M_CKDATE)*ISNUMBER(M_RDATA),M_RDATA)/SUMPRODUCT(ISNUMBER(M_CKDATE)*ISNUMBER(M_RDATA)),"")</f>
        <v/>
      </c>
      <c r="K35" s="315"/>
      <c r="L35" s="315"/>
      <c r="M35" s="315"/>
      <c r="N35" s="315"/>
      <c r="O35" s="315"/>
      <c r="P35" s="315"/>
      <c r="Q35" s="315"/>
      <c r="R35" s="315"/>
      <c r="S35" s="315"/>
      <c r="T35" s="315"/>
      <c r="U35" s="315"/>
      <c r="V35" s="315"/>
      <c r="W35" s="317"/>
    </row>
    <row r="36" spans="1:23" s="341" customFormat="1" ht="63.75" x14ac:dyDescent="0.2">
      <c r="A36" s="358" t="s">
        <v>169</v>
      </c>
      <c r="B36" s="309" t="s">
        <v>533</v>
      </c>
      <c r="C36" s="310"/>
      <c r="D36" s="348" t="s">
        <v>970</v>
      </c>
      <c r="E36" s="311" t="s">
        <v>335</v>
      </c>
      <c r="F36" s="330" t="s">
        <v>858</v>
      </c>
      <c r="G36" s="310" t="s">
        <v>43</v>
      </c>
      <c r="H36" s="311"/>
      <c r="I36" s="313"/>
      <c r="J36" s="314" t="str">
        <f>IFERROR(SUMPRODUCT(ISNUMBER(M_CKDATE)*ISNUMBER(M_RDATA),M_RDATA)/SUMPRODUCT(ISNUMBER(M_CKDATE)*ISNUMBER(M_RDATA)),"")</f>
        <v/>
      </c>
      <c r="K36" s="315"/>
      <c r="L36" s="315"/>
      <c r="M36" s="315"/>
      <c r="N36" s="315"/>
      <c r="O36" s="315"/>
      <c r="P36" s="315"/>
      <c r="Q36" s="315"/>
      <c r="R36" s="315"/>
      <c r="S36" s="315"/>
      <c r="T36" s="315"/>
      <c r="U36" s="315"/>
      <c r="V36" s="315"/>
      <c r="W36" s="317"/>
    </row>
    <row r="37" spans="1:23" s="341" customFormat="1" ht="25.5" x14ac:dyDescent="0.2">
      <c r="A37" s="358" t="s">
        <v>170</v>
      </c>
      <c r="B37" s="309" t="s">
        <v>533</v>
      </c>
      <c r="C37" s="310">
        <v>2</v>
      </c>
      <c r="D37" s="348" t="s">
        <v>284</v>
      </c>
      <c r="E37" s="310" t="s">
        <v>304</v>
      </c>
      <c r="F37" s="335" t="s">
        <v>856</v>
      </c>
      <c r="G37" s="310"/>
      <c r="H37" s="311"/>
      <c r="I37" s="313"/>
      <c r="J37" s="315"/>
      <c r="K37" s="315"/>
      <c r="L37" s="315"/>
      <c r="M37" s="315"/>
      <c r="N37" s="315"/>
      <c r="O37" s="315"/>
      <c r="P37" s="315"/>
      <c r="Q37" s="315"/>
      <c r="R37" s="315"/>
      <c r="S37" s="315"/>
      <c r="T37" s="315"/>
      <c r="U37" s="315"/>
      <c r="V37" s="315"/>
      <c r="W37" s="317"/>
    </row>
    <row r="38" spans="1:23" s="341" customFormat="1" x14ac:dyDescent="0.2">
      <c r="A38" s="358" t="s">
        <v>171</v>
      </c>
      <c r="B38" s="309" t="s">
        <v>533</v>
      </c>
      <c r="C38" s="310">
        <v>2</v>
      </c>
      <c r="D38" s="348" t="s">
        <v>284</v>
      </c>
      <c r="E38" s="310" t="s">
        <v>304</v>
      </c>
      <c r="F38" s="166" t="s">
        <v>41</v>
      </c>
      <c r="G38" s="310"/>
      <c r="H38" s="311"/>
      <c r="I38" s="313"/>
      <c r="J38" s="314" t="str">
        <f>IFERROR(SUMPRODUCT(ISNUMBER(M_CKDATE)*ISNUMBER(M_RDATA),M_RDATA)/SUMPRODUCT(ISNUMBER(M_CKDATE)*ISNUMBER(M_RDATA)),"")</f>
        <v/>
      </c>
      <c r="K38" s="315"/>
      <c r="L38" s="315"/>
      <c r="M38" s="315"/>
      <c r="N38" s="315"/>
      <c r="O38" s="315"/>
      <c r="P38" s="315"/>
      <c r="Q38" s="315"/>
      <c r="R38" s="315"/>
      <c r="S38" s="315"/>
      <c r="T38" s="315"/>
      <c r="U38" s="315"/>
      <c r="V38" s="315"/>
      <c r="W38" s="317"/>
    </row>
    <row r="39" spans="1:23" s="341" customFormat="1" ht="25.5" x14ac:dyDescent="0.2">
      <c r="A39" s="358" t="s">
        <v>172</v>
      </c>
      <c r="B39" s="309" t="s">
        <v>534</v>
      </c>
      <c r="C39" s="310">
        <v>2</v>
      </c>
      <c r="D39" s="348" t="s">
        <v>284</v>
      </c>
      <c r="E39" s="311" t="s">
        <v>304</v>
      </c>
      <c r="F39" s="166" t="s">
        <v>961</v>
      </c>
      <c r="G39" s="310"/>
      <c r="H39" s="311"/>
      <c r="I39" s="313"/>
      <c r="J39" s="314" t="str">
        <f>IFERROR(SUMPRODUCT(ISNUMBER(M_CKDATE)*ISNUMBER(M_RDATA),M_RDATA)/SUMPRODUCT(ISNUMBER(M_CKDATE)*ISNUMBER(M_RDATA)),"")</f>
        <v/>
      </c>
      <c r="K39" s="315"/>
      <c r="L39" s="315"/>
      <c r="M39" s="315"/>
      <c r="N39" s="315"/>
      <c r="O39" s="315"/>
      <c r="P39" s="315"/>
      <c r="Q39" s="315"/>
      <c r="R39" s="315"/>
      <c r="S39" s="315"/>
      <c r="T39" s="315"/>
      <c r="U39" s="315"/>
      <c r="V39" s="315"/>
      <c r="W39" s="317"/>
    </row>
    <row r="40" spans="1:23" s="347" customFormat="1" ht="25.5" hidden="1" x14ac:dyDescent="0.2">
      <c r="A40" s="359" t="s">
        <v>172</v>
      </c>
      <c r="B40" s="309" t="s">
        <v>537</v>
      </c>
      <c r="C40" s="310">
        <v>2</v>
      </c>
      <c r="D40" s="348" t="s">
        <v>284</v>
      </c>
      <c r="E40" s="309" t="s">
        <v>304</v>
      </c>
      <c r="F40" s="166" t="s">
        <v>960</v>
      </c>
      <c r="G40" s="310"/>
      <c r="H40" s="309"/>
      <c r="I40" s="360"/>
      <c r="J40" s="314" t="str">
        <f>IFERROR(SUMPRODUCT(ISNUMBER(M_CKDATE)*ISNUMBER(M_RDATA),M_RDATA)/SUMPRODUCT(ISNUMBER(M_CKDATE)*ISNUMBER(M_RDATA)),"")</f>
        <v/>
      </c>
      <c r="K40" s="315"/>
      <c r="L40" s="315"/>
      <c r="M40" s="315"/>
      <c r="N40" s="315"/>
      <c r="O40" s="315"/>
      <c r="P40" s="315"/>
      <c r="Q40" s="315"/>
      <c r="R40" s="315"/>
      <c r="S40" s="315"/>
      <c r="T40" s="315"/>
      <c r="U40" s="315"/>
      <c r="V40" s="315"/>
      <c r="W40" s="317"/>
    </row>
    <row r="41" spans="1:23" s="347" customFormat="1" x14ac:dyDescent="0.2">
      <c r="A41" s="359" t="s">
        <v>173</v>
      </c>
      <c r="B41" s="309" t="s">
        <v>533</v>
      </c>
      <c r="C41" s="310">
        <v>2</v>
      </c>
      <c r="D41" s="348" t="s">
        <v>284</v>
      </c>
      <c r="E41" s="309" t="s">
        <v>304</v>
      </c>
      <c r="F41" s="166" t="s">
        <v>18</v>
      </c>
      <c r="G41" s="310"/>
      <c r="H41" s="309"/>
      <c r="I41" s="360"/>
      <c r="J41" s="314" t="str">
        <f>IFERROR(SUMPRODUCT(ISNUMBER(M_CKDATE)*ISNUMBER(M_RDATA),M_RDATA)/SUMPRODUCT(ISNUMBER(M_CKDATE)*ISNUMBER(M_RDATA)),"")</f>
        <v/>
      </c>
      <c r="K41" s="315"/>
      <c r="L41" s="315"/>
      <c r="M41" s="315"/>
      <c r="N41" s="315"/>
      <c r="O41" s="315"/>
      <c r="P41" s="315"/>
      <c r="Q41" s="315"/>
      <c r="R41" s="315"/>
      <c r="S41" s="315"/>
      <c r="T41" s="315"/>
      <c r="U41" s="315"/>
      <c r="V41" s="315"/>
      <c r="W41" s="317"/>
    </row>
    <row r="42" spans="1:23" s="347" customFormat="1" ht="38.25" x14ac:dyDescent="0.2">
      <c r="A42" s="359" t="s">
        <v>174</v>
      </c>
      <c r="B42" s="309" t="s">
        <v>534</v>
      </c>
      <c r="C42" s="310">
        <v>2</v>
      </c>
      <c r="D42" s="348" t="s">
        <v>284</v>
      </c>
      <c r="E42" s="309" t="s">
        <v>304</v>
      </c>
      <c r="F42" s="166" t="s">
        <v>42</v>
      </c>
      <c r="G42" s="310"/>
      <c r="H42" s="309"/>
      <c r="I42" s="360"/>
      <c r="J42" s="314" t="str">
        <f>IFERROR(SUMPRODUCT(ISNUMBER(M_CKDATE)*ISNUMBER(M_RDATA),M_RDATA)/SUMPRODUCT(ISNUMBER(M_CKDATE)*ISNUMBER(M_RDATA)),"")</f>
        <v/>
      </c>
      <c r="K42" s="315"/>
      <c r="L42" s="315"/>
      <c r="M42" s="315"/>
      <c r="N42" s="315"/>
      <c r="O42" s="315"/>
      <c r="P42" s="315"/>
      <c r="Q42" s="315"/>
      <c r="R42" s="315"/>
      <c r="S42" s="315"/>
      <c r="T42" s="315"/>
      <c r="U42" s="315"/>
      <c r="V42" s="315"/>
      <c r="W42" s="317"/>
    </row>
    <row r="43" spans="1:23" s="347" customFormat="1" ht="38.25" hidden="1" x14ac:dyDescent="0.2">
      <c r="A43" s="359" t="s">
        <v>174</v>
      </c>
      <c r="B43" s="309" t="s">
        <v>537</v>
      </c>
      <c r="C43" s="310">
        <v>2</v>
      </c>
      <c r="D43" s="348" t="s">
        <v>284</v>
      </c>
      <c r="E43" s="309" t="s">
        <v>304</v>
      </c>
      <c r="F43" s="166" t="s">
        <v>575</v>
      </c>
      <c r="G43" s="310"/>
      <c r="H43" s="309"/>
      <c r="I43" s="360"/>
      <c r="J43" s="314" t="str">
        <f>IFERROR(SUMPRODUCT(ISNUMBER(M_CKDATE)*ISNUMBER(M_RDATA),M_RDATA)/SUMPRODUCT(ISNUMBER(M_CKDATE)*ISNUMBER(M_RDATA)),"")</f>
        <v/>
      </c>
      <c r="K43" s="315"/>
      <c r="L43" s="315"/>
      <c r="M43" s="315"/>
      <c r="N43" s="315"/>
      <c r="O43" s="315"/>
      <c r="P43" s="315"/>
      <c r="Q43" s="315"/>
      <c r="R43" s="315"/>
      <c r="S43" s="315"/>
      <c r="T43" s="315"/>
      <c r="U43" s="315"/>
      <c r="V43" s="315"/>
      <c r="W43" s="317"/>
    </row>
    <row r="44" spans="1:23" s="341" customFormat="1" ht="63.75" x14ac:dyDescent="0.2">
      <c r="A44" s="358" t="s">
        <v>175</v>
      </c>
      <c r="B44" s="309" t="s">
        <v>533</v>
      </c>
      <c r="C44" s="310">
        <v>2</v>
      </c>
      <c r="D44" s="348" t="s">
        <v>380</v>
      </c>
      <c r="E44" s="311" t="s">
        <v>300</v>
      </c>
      <c r="F44" s="310" t="s">
        <v>254</v>
      </c>
      <c r="G44" s="310" t="s">
        <v>576</v>
      </c>
      <c r="H44" s="311"/>
      <c r="I44" s="313"/>
      <c r="J44" s="314" t="str">
        <f>IFERROR(SUMPRODUCT(ISNUMBER(M_CKDATE)*ISNUMBER(M_RDATA),M_RDATA)/SUMPRODUCT(ISNUMBER(M_CKDATE)*ISNUMBER(M_RDATA)),"")</f>
        <v/>
      </c>
      <c r="K44" s="315"/>
      <c r="L44" s="315"/>
      <c r="M44" s="315"/>
      <c r="N44" s="315"/>
      <c r="O44" s="315"/>
      <c r="P44" s="315"/>
      <c r="Q44" s="315"/>
      <c r="R44" s="315"/>
      <c r="S44" s="315"/>
      <c r="T44" s="315"/>
      <c r="U44" s="315"/>
      <c r="V44" s="315"/>
      <c r="W44" s="317"/>
    </row>
    <row r="45" spans="1:23" s="341" customFormat="1" ht="76.5" x14ac:dyDescent="0.2">
      <c r="A45" s="358" t="s">
        <v>176</v>
      </c>
      <c r="B45" s="309" t="s">
        <v>533</v>
      </c>
      <c r="C45" s="310">
        <v>3</v>
      </c>
      <c r="D45" s="348" t="s">
        <v>647</v>
      </c>
      <c r="E45" s="311" t="s">
        <v>333</v>
      </c>
      <c r="F45" s="310" t="s">
        <v>859</v>
      </c>
      <c r="G45" s="310" t="s">
        <v>337</v>
      </c>
      <c r="H45" s="311"/>
      <c r="I45" s="313"/>
      <c r="J45" s="314" t="str">
        <f>IFERROR(SUMPRODUCT(ISNUMBER(M_CKDATE)*ISNUMBER(M_RDATA),M_RDATA)/SUMPRODUCT(ISNUMBER(M_CKDATE)*ISNUMBER(M_RDATA)),"")</f>
        <v/>
      </c>
      <c r="K45" s="315"/>
      <c r="L45" s="315"/>
      <c r="M45" s="315"/>
      <c r="N45" s="315"/>
      <c r="O45" s="315"/>
      <c r="P45" s="315"/>
      <c r="Q45" s="315"/>
      <c r="R45" s="315"/>
      <c r="S45" s="315"/>
      <c r="T45" s="315"/>
      <c r="U45" s="315"/>
      <c r="V45" s="315"/>
      <c r="W45" s="317"/>
    </row>
    <row r="46" spans="1:23" s="353" customFormat="1" ht="51" x14ac:dyDescent="0.2">
      <c r="A46" s="348" t="s">
        <v>706</v>
      </c>
      <c r="B46" s="310" t="s">
        <v>534</v>
      </c>
      <c r="C46" s="339">
        <v>2</v>
      </c>
      <c r="D46" s="339" t="s">
        <v>285</v>
      </c>
      <c r="E46" s="310" t="s">
        <v>290</v>
      </c>
      <c r="F46" s="339" t="s">
        <v>860</v>
      </c>
      <c r="G46" s="339" t="s">
        <v>996</v>
      </c>
      <c r="H46" s="310"/>
      <c r="I46" s="313"/>
      <c r="J46" s="314" t="str">
        <f>IFERROR(SUMPRODUCT(ISNUMBER(M_CKDATE)*ISNUMBER(M_RDATA),M_RDATA)/SUMPRODUCT(ISNUMBER(M_CKDATE)*ISNUMBER(M_RDATA)),"")</f>
        <v/>
      </c>
      <c r="K46" s="325"/>
      <c r="L46" s="325"/>
      <c r="M46" s="325"/>
      <c r="N46" s="325"/>
      <c r="O46" s="325"/>
      <c r="P46" s="325"/>
      <c r="Q46" s="325"/>
      <c r="R46" s="325"/>
      <c r="S46" s="325"/>
      <c r="T46" s="325"/>
      <c r="U46" s="325"/>
      <c r="V46" s="325"/>
      <c r="W46" s="317"/>
    </row>
    <row r="47" spans="1:23" x14ac:dyDescent="0.2">
      <c r="A47" s="26" t="s">
        <v>946</v>
      </c>
      <c r="B47" s="27"/>
      <c r="C47" s="205"/>
      <c r="D47" s="27"/>
      <c r="E47" s="201"/>
      <c r="F47" s="201"/>
      <c r="G47" s="201"/>
      <c r="H47" s="27"/>
      <c r="I47" s="27"/>
      <c r="J47" s="27"/>
      <c r="K47" s="27"/>
      <c r="L47" s="27"/>
      <c r="M47" s="27"/>
      <c r="N47" s="27"/>
      <c r="O47" s="27"/>
      <c r="P47" s="27"/>
      <c r="Q47" s="27"/>
      <c r="R47" s="27"/>
      <c r="S47" s="27"/>
      <c r="T47" s="27"/>
      <c r="U47" s="27"/>
      <c r="V47" s="27"/>
      <c r="W47" s="28"/>
    </row>
  </sheetData>
  <sheetProtection formatCells="0" formatColumns="0" formatRows="0" insertColumns="0" insertRows="0" insertHyperlinks="0" deleteColumns="0" deleteRows="0" sort="0" autoFilter="0" pivotTables="0"/>
  <dataConsolidate/>
  <mergeCells count="4">
    <mergeCell ref="I11:J11"/>
    <mergeCell ref="I8:J8"/>
    <mergeCell ref="I9:J9"/>
    <mergeCell ref="I10:J10"/>
  </mergeCells>
  <phoneticPr fontId="0" type="noConversion"/>
  <conditionalFormatting sqref="F24:F28 F38:F43 K13:V46">
    <cfRule type="cellIs" dxfId="119" priority="100" stopIfTrue="1" operator="equal">
      <formula>100</formula>
    </cfRule>
    <cfRule type="expression" dxfId="118" priority="101" stopIfTrue="1">
      <formula>AND(F13&gt;=50,F13&lt;&gt;"N/A",NOT(ISERROR(VALUE(F13))))</formula>
    </cfRule>
    <cfRule type="expression" dxfId="117" priority="102" stopIfTrue="1">
      <formula>NOT(OR(ISBLANK(F13),F13="N/A",ISERROR(VALUE(F13))))</formula>
    </cfRule>
  </conditionalFormatting>
  <conditionalFormatting sqref="J13:J46">
    <cfRule type="expression" dxfId="116" priority="106" stopIfTrue="1">
      <formula>AND(J13&gt;=90,NOT(ISBLANK(J13)),NOT(ISERROR(VALUE(J13))))</formula>
    </cfRule>
    <cfRule type="expression" dxfId="115" priority="107" stopIfTrue="1">
      <formula>AND(J13&lt;90,J13&gt;=50,J13&lt;&gt;"N/A",NOT(ISERROR(VALUE(J13))))</formula>
    </cfRule>
    <cfRule type="expression" dxfId="114" priority="108" stopIfTrue="1">
      <formula>NOT(OR(ISBLANK(J13),J13="N/A",ISERROR(VALUE(J13))))</formula>
    </cfRule>
  </conditionalFormatting>
  <conditionalFormatting sqref="D46">
    <cfRule type="cellIs" dxfId="113" priority="25" stopIfTrue="1" operator="equal">
      <formula>100</formula>
    </cfRule>
    <cfRule type="expression" dxfId="112" priority="26" stopIfTrue="1">
      <formula>AND(D46&gt;=50,D46&lt;&gt;"N/A",NOT(ISERROR(VALUE(D46))))</formula>
    </cfRule>
    <cfRule type="expression" dxfId="111" priority="27" stopIfTrue="1">
      <formula>NOT(OR(ISBLANK(D46),D46="N/A",ISERROR(VALUE(D46))))</formula>
    </cfRule>
  </conditionalFormatting>
  <conditionalFormatting sqref="F24:F28 F38:F43">
    <cfRule type="cellIs" dxfId="110" priority="22" stopIfTrue="1" operator="equal">
      <formula>100</formula>
    </cfRule>
    <cfRule type="expression" dxfId="109" priority="23" stopIfTrue="1">
      <formula>AND(F24&gt;=50,F24&lt;&gt;"N/A",NOT(ISERROR(VALUE(F24))))</formula>
    </cfRule>
    <cfRule type="expression" dxfId="108" priority="24" stopIfTrue="1">
      <formula>NOT(OR(ISBLANK(F24),F24="N/A",ISERROR(VALUE(F24))))</formula>
    </cfRule>
  </conditionalFormatting>
  <conditionalFormatting sqref="F24:F28">
    <cfRule type="cellIs" dxfId="107" priority="19" stopIfTrue="1" operator="equal">
      <formula>100</formula>
    </cfRule>
    <cfRule type="expression" dxfId="106" priority="20" stopIfTrue="1">
      <formula>AND(F24&gt;=50,F24&lt;&gt;"N/A",NOT(ISERROR(VALUE(F24))))</formula>
    </cfRule>
    <cfRule type="expression" dxfId="105" priority="21" stopIfTrue="1">
      <formula>NOT(OR(ISBLANK(F24),F24="N/A",ISERROR(VALUE(F24))))</formula>
    </cfRule>
  </conditionalFormatting>
  <conditionalFormatting sqref="F38:F43">
    <cfRule type="cellIs" dxfId="104" priority="16" stopIfTrue="1" operator="equal">
      <formula>100</formula>
    </cfRule>
    <cfRule type="expression" dxfId="103" priority="17" stopIfTrue="1">
      <formula>AND(F38&gt;=50,F38&lt;&gt;"N/A",NOT(ISERROR(VALUE(F38))))</formula>
    </cfRule>
    <cfRule type="expression" dxfId="102" priority="18" stopIfTrue="1">
      <formula>NOT(OR(ISBLANK(F38),F38="N/A",ISERROR(VALUE(F38))))</formula>
    </cfRule>
  </conditionalFormatting>
  <conditionalFormatting sqref="F24:F28">
    <cfRule type="cellIs" dxfId="101" priority="13" stopIfTrue="1" operator="equal">
      <formula>100</formula>
    </cfRule>
    <cfRule type="expression" dxfId="100" priority="14" stopIfTrue="1">
      <formula>AND(F24&gt;=50,F24&lt;&gt;"N/A",NOT(ISERROR(VALUE(F24))))</formula>
    </cfRule>
    <cfRule type="expression" dxfId="99" priority="15" stopIfTrue="1">
      <formula>NOT(OR(ISBLANK(F24),F24="N/A",ISERROR(VALUE(F24))))</formula>
    </cfRule>
  </conditionalFormatting>
  <conditionalFormatting sqref="F38:F43">
    <cfRule type="cellIs" dxfId="98" priority="10" stopIfTrue="1" operator="equal">
      <formula>100</formula>
    </cfRule>
    <cfRule type="expression" dxfId="97" priority="11" stopIfTrue="1">
      <formula>AND(F38&gt;=50,F38&lt;&gt;"N/A",NOT(ISERROR(VALUE(F38))))</formula>
    </cfRule>
    <cfRule type="expression" dxfId="96" priority="12" stopIfTrue="1">
      <formula>NOT(OR(ISBLANK(F38),F38="N/A",ISERROR(VALUE(F38))))</formula>
    </cfRule>
  </conditionalFormatting>
  <conditionalFormatting sqref="F46:G46">
    <cfRule type="cellIs" dxfId="95" priority="7" stopIfTrue="1" operator="equal">
      <formula>100</formula>
    </cfRule>
    <cfRule type="expression" dxfId="94" priority="8" stopIfTrue="1">
      <formula>AND(F46&gt;=50,F46&lt;&gt;"N/A",NOT(ISERROR(VALUE(F46))))</formula>
    </cfRule>
    <cfRule type="expression" dxfId="93" priority="9" stopIfTrue="1">
      <formula>NOT(OR(ISBLANK(F46),F46="N/A",ISERROR(VALUE(F46))))</formula>
    </cfRule>
  </conditionalFormatting>
  <conditionalFormatting sqref="J23">
    <cfRule type="cellIs" dxfId="92" priority="4" stopIfTrue="1" operator="equal">
      <formula>100</formula>
    </cfRule>
    <cfRule type="expression" dxfId="91" priority="5" stopIfTrue="1">
      <formula>AND(J23&gt;=50,J23&lt;&gt;"N/A",NOT(ISERROR(VALUE(J23))))</formula>
    </cfRule>
    <cfRule type="expression" dxfId="90" priority="6" stopIfTrue="1">
      <formula>NOT(OR(ISBLANK(J23),J23="N/A",ISERROR(VALUE(J23))))</formula>
    </cfRule>
  </conditionalFormatting>
  <conditionalFormatting sqref="J37">
    <cfRule type="cellIs" dxfId="89" priority="1" stopIfTrue="1" operator="equal">
      <formula>100</formula>
    </cfRule>
    <cfRule type="expression" dxfId="88" priority="2" stopIfTrue="1">
      <formula>AND(J37&gt;=50,J37&lt;&gt;"N/A",NOT(ISERROR(VALUE(J37))))</formula>
    </cfRule>
    <cfRule type="expression" dxfId="87" priority="3" stopIfTrue="1">
      <formula>NOT(OR(ISBLANK(J37),J37="N/A",ISERROR(VALUE(J37))))</formula>
    </cfRule>
  </conditionalFormatting>
  <dataValidations count="6">
    <dataValidation operator="greaterThanOrEqual" allowBlank="1" showInputMessage="1" showErrorMessage="1" sqref="W11"/>
    <dataValidation type="list" allowBlank="1" showInputMessage="1" showErrorMessage="1" sqref="B13:B46">
      <formula1>"All, D, T, O, M, C, D&amp;M, D&amp;C&amp;T, D&amp;C&amp;M, D&amp;M&amp;T"</formula1>
    </dataValidation>
    <dataValidation type="list" allowBlank="1" showInputMessage="1" showErrorMessage="1" sqref="B12">
      <formula1>"QuestionType"</formula1>
    </dataValidation>
    <dataValidation type="date" operator="greaterThanOrEqual" allowBlank="1" showInputMessage="1" showErrorMessage="1" sqref="K11:V11">
      <formula1>1</formula1>
    </dataValidation>
    <dataValidation type="list" allowBlank="1" showInputMessage="1" showErrorMessage="1" sqref="K13:V22 K24:V36 K38:V46">
      <formula1>"100,50,0,N/A,&lt;&gt;"</formula1>
    </dataValidation>
    <dataValidation type="custom" allowBlank="1" showErrorMessage="1" errorTitle="Input error!" error="You cannot enter value for this parent item!" sqref="J23:V23 J37:V37">
      <formula1>"Parent Item"</formula1>
    </dataValidation>
  </dataValidations>
  <pageMargins left="0.47244094488188981" right="0.27559055118110237" top="0.39370078740157483" bottom="0.51181102362204722" header="0.23622047244094491" footer="0.31496062992125984"/>
  <pageSetup paperSize="9" scale="49" orientation="landscape" horizontalDpi="300" verticalDpi="300" r:id="rId1"/>
  <headerFooter alignWithMargins="0">
    <oddFooter>&amp;L02e-CL/CL/HDCV/FSOFT v2/3&amp;CInternal use&amp;R&amp;P/&amp;N</oddFooter>
  </headerFooter>
  <ignoredErrors>
    <ignoredError sqref="W8:W10" emptyCellReference="1"/>
  </ignoredError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filterMode="1">
    <tabColor indexed="12"/>
  </sheetPr>
  <dimension ref="A1:BA41"/>
  <sheetViews>
    <sheetView showGridLines="0" topLeftCell="A7" workbookViewId="0">
      <selection activeCell="H13" sqref="H13"/>
    </sheetView>
  </sheetViews>
  <sheetFormatPr defaultColWidth="9.140625" defaultRowHeight="12.75" x14ac:dyDescent="0.2"/>
  <cols>
    <col min="1" max="1" width="8.140625" style="177" customWidth="1"/>
    <col min="2" max="2" width="10.42578125" style="177" customWidth="1"/>
    <col min="3" max="3" width="13.28515625" style="185" customWidth="1"/>
    <col min="4" max="4" width="14.85546875" style="177" customWidth="1"/>
    <col min="5" max="5" width="33.5703125" style="185" customWidth="1"/>
    <col min="6" max="6" width="41" style="185" customWidth="1"/>
    <col min="7" max="7" width="36" style="185" customWidth="1"/>
    <col min="8" max="8" width="35.5703125" style="186" customWidth="1"/>
    <col min="9" max="9" width="10.7109375" style="187" customWidth="1"/>
    <col min="10" max="13" width="10.7109375" style="177" customWidth="1"/>
    <col min="14" max="14" width="10.85546875" style="177" customWidth="1"/>
    <col min="15" max="15" width="9.85546875" style="177" customWidth="1"/>
    <col min="16" max="51" width="9.140625" style="215"/>
    <col min="52" max="16384" width="9.140625" style="177"/>
  </cols>
  <sheetData>
    <row r="1" spans="1:53" s="197" customFormat="1" ht="20.25" x14ac:dyDescent="0.2">
      <c r="A1" s="196"/>
      <c r="B1" s="196"/>
      <c r="C1" s="196" t="s">
        <v>383</v>
      </c>
      <c r="D1" s="196"/>
      <c r="E1" s="198"/>
      <c r="F1" s="198"/>
      <c r="G1" s="198"/>
      <c r="I1" s="219"/>
      <c r="K1" s="220"/>
      <c r="P1" s="221"/>
      <c r="Q1" s="221"/>
      <c r="R1" s="221"/>
      <c r="S1" s="221"/>
      <c r="T1" s="221"/>
      <c r="U1" s="221"/>
      <c r="V1" s="221"/>
      <c r="W1" s="221"/>
      <c r="X1" s="221"/>
      <c r="Y1" s="221"/>
      <c r="Z1" s="221"/>
      <c r="AA1" s="221"/>
      <c r="AB1" s="221"/>
      <c r="AC1" s="221"/>
      <c r="AD1" s="221"/>
      <c r="AE1" s="221"/>
      <c r="AF1" s="221"/>
      <c r="AG1" s="221"/>
      <c r="AH1" s="221"/>
      <c r="AI1" s="221"/>
      <c r="AJ1" s="221"/>
      <c r="AK1" s="221"/>
      <c r="AL1" s="221"/>
      <c r="AM1" s="221"/>
      <c r="AN1" s="221"/>
      <c r="AO1" s="221"/>
      <c r="AP1" s="221"/>
      <c r="AQ1" s="221"/>
      <c r="AR1" s="221"/>
      <c r="AS1" s="221"/>
      <c r="AT1" s="221"/>
      <c r="AU1" s="221"/>
      <c r="AV1" s="221"/>
      <c r="AW1" s="221"/>
      <c r="AX1" s="221"/>
      <c r="AY1" s="221"/>
    </row>
    <row r="2" spans="1:53" x14ac:dyDescent="0.2">
      <c r="A2" s="176"/>
      <c r="B2" s="176"/>
      <c r="C2" s="176" t="s">
        <v>353</v>
      </c>
      <c r="D2" s="176"/>
      <c r="H2" s="177"/>
      <c r="K2" s="214"/>
    </row>
    <row r="3" spans="1:53" s="76" customFormat="1" x14ac:dyDescent="0.2">
      <c r="C3" s="222" t="s">
        <v>340</v>
      </c>
      <c r="D3" s="222" t="s">
        <v>404</v>
      </c>
      <c r="E3" s="79" t="s">
        <v>647</v>
      </c>
      <c r="F3" s="81" t="s">
        <v>289</v>
      </c>
      <c r="G3" s="81" t="s">
        <v>283</v>
      </c>
      <c r="H3" s="81" t="s">
        <v>284</v>
      </c>
      <c r="I3" s="80" t="s">
        <v>286</v>
      </c>
      <c r="J3" s="82" t="s">
        <v>648</v>
      </c>
      <c r="K3" s="80" t="s">
        <v>649</v>
      </c>
      <c r="L3" s="80" t="s">
        <v>285</v>
      </c>
      <c r="M3" s="80" t="s">
        <v>650</v>
      </c>
      <c r="N3" s="80" t="s">
        <v>651</v>
      </c>
      <c r="O3" s="80" t="s">
        <v>652</v>
      </c>
      <c r="P3" s="80" t="s">
        <v>380</v>
      </c>
      <c r="Q3" s="223"/>
      <c r="R3" s="223"/>
      <c r="S3" s="223"/>
      <c r="T3" s="223"/>
      <c r="U3" s="223"/>
      <c r="V3" s="223"/>
      <c r="W3" s="223"/>
      <c r="X3" s="223"/>
      <c r="Y3" s="223"/>
      <c r="Z3" s="223"/>
      <c r="AA3" s="223"/>
      <c r="AB3" s="223"/>
      <c r="AC3" s="223"/>
      <c r="AD3" s="223"/>
      <c r="AE3" s="223"/>
      <c r="AF3" s="223"/>
      <c r="AG3" s="223"/>
      <c r="AH3" s="223"/>
      <c r="AI3" s="223"/>
      <c r="AJ3" s="223"/>
      <c r="AK3" s="223"/>
      <c r="AL3" s="223"/>
      <c r="AM3" s="223"/>
      <c r="AN3" s="223"/>
      <c r="AO3" s="223"/>
      <c r="AP3" s="223"/>
    </row>
    <row r="4" spans="1:53" s="209" customFormat="1" x14ac:dyDescent="0.2">
      <c r="A4" s="9"/>
      <c r="B4" s="9"/>
      <c r="C4" s="2" t="s">
        <v>63</v>
      </c>
      <c r="D4" s="13" t="str">
        <f>IFERROR(SUMPRODUCT(ISNUMBER(B_CKDATE)*ISNUMBER(B_CKDATA)*B_INTYPE,B_CKDATA)/SUMPRODUCT(ISNUMBER(B_CKDATE)*ISNUMBER(B_CKDATA)*B_INTYPE),"")</f>
        <v/>
      </c>
      <c r="E4" s="30" t="str">
        <f>IFERROR(SUMPRODUCT(ISNUMBER(B_CKDATE)*(B_CAT=E$3)*ISNUMBER(B_CKDATA)*B_INTYPE,B_CKDATA)/SUMPRODUCT(ISNUMBER(B_CKDATE)*(B_CAT=E$3)*ISNUMBER(B_CKDATA)*B_INTYPE),"")</f>
        <v/>
      </c>
      <c r="F4" s="255" t="str">
        <f>IFERROR(SUMPRODUCT(ISNUMBER(B_CKDATE)*(B_CAT=F$3)*ISNUMBER(B_CKDATA)*B_INTYPE,B_CKDATA)/SUMPRODUCT(ISNUMBER(B_CKDATE)*(B_CAT=F$3)*ISNUMBER(B_CKDATA)*B_INTYPE),"")</f>
        <v/>
      </c>
      <c r="G4" s="255" t="str">
        <f>IFERROR(SUMPRODUCT(ISNUMBER(B_CKDATE)*(B_CAT=G$3)*ISNUMBER(B_CKDATA)*B_INTYPE,B_CKDATA)/SUMPRODUCT(ISNUMBER(B_CKDATE)*(B_CAT=G$3)*ISNUMBER(B_CKDATA)*B_INTYPE),"")</f>
        <v/>
      </c>
      <c r="H4" s="255" t="str">
        <f>IFERROR(SUMPRODUCT(ISNUMBER(B_CKDATE)*(B_CAT=H$3)*ISNUMBER(B_CKDATA)*B_INTYPE,B_CKDATA)/SUMPRODUCT(ISNUMBER(B_CKDATE)*(B_CAT=H$3)*ISNUMBER(B_CKDATA)*B_INTYPE),"")</f>
        <v/>
      </c>
      <c r="I4" s="255" t="str">
        <f>IFERROR(SUMPRODUCT(ISNUMBER(B_CKDATE)*(B_CAT=I$3)*ISNUMBER(B_CKDATA)*B_INTYPE,B_CKDATA)/SUMPRODUCT(ISNUMBER(B_CKDATE)*(B_CAT=I$3)*ISNUMBER(B_CKDATA)*B_INTYPE),"")</f>
        <v/>
      </c>
      <c r="J4" s="255" t="str">
        <f>IFERROR(SUMPRODUCT(ISNUMBER(B_CKDATE)*(B_CAT=J$3)*ISNUMBER(B_CKDATA)*B_INTYPE,B_CKDATA)/SUMPRODUCT(ISNUMBER(B_CKDATE)*(B_CAT=J$3)*ISNUMBER(B_CKDATA)*B_INTYPE),"")</f>
        <v/>
      </c>
      <c r="K4" s="255" t="str">
        <f>IFERROR(SUMPRODUCT(ISNUMBER(B_CKDATE)*(B_CAT=K$3)*ISNUMBER(B_CKDATA)*B_INTYPE,B_CKDATA)/SUMPRODUCT(ISNUMBER(B_CKDATE)*(B_CAT=K$3)*ISNUMBER(B_CKDATA)*B_INTYPE),"")</f>
        <v/>
      </c>
      <c r="L4" s="255" t="str">
        <f>IFERROR(SUMPRODUCT(ISNUMBER(B_CKDATE)*(B_CAT=L$3)*ISNUMBER(B_CKDATA)*B_INTYPE,B_CKDATA)/SUMPRODUCT(ISNUMBER(B_CKDATE)*(B_CAT=L$3)*ISNUMBER(B_CKDATA)*B_INTYPE),"")</f>
        <v/>
      </c>
      <c r="M4" s="255" t="str">
        <f>IFERROR(SUMPRODUCT(ISNUMBER(B_CKDATE)*(B_CAT=M$3)*ISNUMBER(B_CKDATA)*B_INTYPE,B_CKDATA)/SUMPRODUCT(ISNUMBER(B_CKDATE)*(B_CAT=M$3)*ISNUMBER(B_CKDATA)*B_INTYPE),"")</f>
        <v/>
      </c>
      <c r="N4" s="255" t="str">
        <f>IFERROR(SUMPRODUCT(ISNUMBER(B_CKDATE)*(B_CAT=N$3)*ISNUMBER(B_CKDATA)*B_INTYPE,B_CKDATA)/SUMPRODUCT(ISNUMBER(B_CKDATE)*(B_CAT=N$3)*ISNUMBER(B_CKDATA)*B_INTYPE),"")</f>
        <v/>
      </c>
      <c r="O4" s="255" t="str">
        <f>IFERROR(SUMPRODUCT(ISNUMBER(B_CKDATE)*(B_CAT=O$3)*ISNUMBER(B_CKDATA)*B_INTYPE,B_CKDATA)/SUMPRODUCT(ISNUMBER(B_CKDATE)*(B_CAT=O$3)*ISNUMBER(B_CKDATA)*B_INTYPE),"")</f>
        <v/>
      </c>
      <c r="P4" s="255" t="str">
        <f>IFERROR(SUMPRODUCT(ISNUMBER(B_CKDATE)*(B_CAT=P$3)*ISNUMBER(B_CKDATA)*B_INTYPE,B_CKDATA)/SUMPRODUCT(ISNUMBER(B_CKDATE)*(B_CAT=P$3)*ISNUMBER(B_CKDATA)*B_INTYPE),"")</f>
        <v/>
      </c>
      <c r="Q4" s="208"/>
      <c r="R4" s="208"/>
      <c r="S4" s="208"/>
      <c r="T4" s="208"/>
      <c r="U4" s="208"/>
      <c r="V4" s="208"/>
      <c r="W4" s="208"/>
      <c r="X4" s="208"/>
      <c r="Y4" s="208"/>
      <c r="Z4" s="208"/>
      <c r="AA4" s="208"/>
      <c r="AB4" s="208"/>
      <c r="AC4" s="208"/>
      <c r="AD4" s="208"/>
      <c r="AE4" s="208"/>
      <c r="AF4" s="208"/>
      <c r="AG4" s="208"/>
      <c r="AH4" s="208"/>
      <c r="AI4" s="208"/>
      <c r="AJ4" s="208"/>
      <c r="AK4" s="208"/>
      <c r="AL4" s="208"/>
      <c r="AM4" s="208"/>
      <c r="AN4" s="208"/>
      <c r="AO4" s="208"/>
      <c r="AP4" s="208"/>
    </row>
    <row r="5" spans="1:53" s="70" customFormat="1" x14ac:dyDescent="0.2">
      <c r="C5" s="2" t="s">
        <v>351</v>
      </c>
      <c r="D5" s="13" t="str">
        <f>IFERROR(SUMPRODUCT(ISNUMBER(B_CKDATE)*ISNUMBER(B_CKDATA)*B_SM*B_INTYPE,B_CKDATA)/SUMPRODUCT(ISNUMBER(B_CKDATE)*ISNUMBER(B_CKDATA)*B_SM*B_INTYPE),"")</f>
        <v/>
      </c>
      <c r="E5" s="30" t="str">
        <f>IFERROR(SUMPRODUCT(ISNUMBER(B_CKDATE)*(B_CAT=E$3)*ISNUMBER(B_CKDATA)*B_SM*B_INTYPE,B_CKDATA)/SUMPRODUCT(ISNUMBER(B_CKDATE)*(B_CAT=E$3)*ISNUMBER(B_CKDATA)*B_SM*B_INTYPE),"")</f>
        <v/>
      </c>
      <c r="F5" s="255" t="str">
        <f>IFERROR(SUMPRODUCT(ISNUMBER(B_CKDATE)*(B_CAT=F$3)*ISNUMBER(B_CKDATA)*B_SM*B_INTYPE,B_CKDATA)/SUMPRODUCT(ISNUMBER(B_CKDATE)*(B_CAT=F$3)*ISNUMBER(B_CKDATA)*B_SM*B_INTYPE),"")</f>
        <v/>
      </c>
      <c r="G5" s="255" t="str">
        <f>IFERROR(SUMPRODUCT(ISNUMBER(B_CKDATE)*(B_CAT=G$3)*ISNUMBER(B_CKDATA)*B_SM*B_INTYPE,B_CKDATA)/SUMPRODUCT(ISNUMBER(B_CKDATE)*(B_CAT=G$3)*ISNUMBER(B_CKDATA)*B_SM*B_INTYPE),"")</f>
        <v/>
      </c>
      <c r="H5" s="255" t="str">
        <f>IFERROR(SUMPRODUCT(ISNUMBER(B_CKDATE)*(B_CAT=H$3)*ISNUMBER(B_CKDATA)*B_SM*B_INTYPE,B_CKDATA)/SUMPRODUCT(ISNUMBER(B_CKDATE)*(B_CAT=H$3)*ISNUMBER(B_CKDATA)*B_SM*B_INTYPE),"")</f>
        <v/>
      </c>
      <c r="I5" s="255" t="str">
        <f>IFERROR(SUMPRODUCT(ISNUMBER(B_CKDATE)*(B_CAT=I$3)*ISNUMBER(B_CKDATA)*B_SM*B_INTYPE,B_CKDATA)/SUMPRODUCT(ISNUMBER(B_CKDATE)*(B_CAT=I$3)*ISNUMBER(B_CKDATA)*B_SM*B_INTYPE),"")</f>
        <v/>
      </c>
      <c r="J5" s="255" t="str">
        <f>IFERROR(SUMPRODUCT(ISNUMBER(B_CKDATE)*(B_CAT=J$3)*ISNUMBER(B_CKDATA)*B_SM*B_INTYPE,B_CKDATA)/SUMPRODUCT(ISNUMBER(B_CKDATE)*(B_CAT=J$3)*ISNUMBER(B_CKDATA)*B_SM*B_INTYPE),"")</f>
        <v/>
      </c>
      <c r="K5" s="255" t="str">
        <f>IFERROR(SUMPRODUCT(ISNUMBER(B_CKDATE)*(B_CAT=K$3)*ISNUMBER(B_CKDATA)*B_SM*B_INTYPE,B_CKDATA)/SUMPRODUCT(ISNUMBER(B_CKDATE)*(B_CAT=K$3)*ISNUMBER(B_CKDATA)*B_SM*B_INTYPE),"")</f>
        <v/>
      </c>
      <c r="L5" s="255" t="str">
        <f>IFERROR(SUMPRODUCT(ISNUMBER(B_CKDATE)*(B_CAT=L$3)*ISNUMBER(B_CKDATA)*B_SM*B_INTYPE,B_CKDATA)/SUMPRODUCT(ISNUMBER(B_CKDATE)*(B_CAT=L$3)*ISNUMBER(B_CKDATA)*B_SM*B_INTYPE),"")</f>
        <v/>
      </c>
      <c r="M5" s="255" t="str">
        <f>IFERROR(SUMPRODUCT(ISNUMBER(B_CKDATE)*(B_CAT=M$3)*ISNUMBER(B_CKDATA)*B_SM*B_INTYPE,B_CKDATA)/SUMPRODUCT(ISNUMBER(B_CKDATE)*(B_CAT=M$3)*ISNUMBER(B_CKDATA)*B_SM*B_INTYPE),"")</f>
        <v/>
      </c>
      <c r="N5" s="255" t="str">
        <f>IFERROR(SUMPRODUCT(ISNUMBER(B_CKDATE)*(B_CAT=N$3)*ISNUMBER(B_CKDATA)*B_SM*B_INTYPE,B_CKDATA)/SUMPRODUCT(ISNUMBER(B_CKDATE)*(B_CAT=N$3)*ISNUMBER(B_CKDATA)*B_SM*B_INTYPE),"")</f>
        <v/>
      </c>
      <c r="O5" s="255" t="str">
        <f>IFERROR(SUMPRODUCT(ISNUMBER(B_CKDATE)*(B_CAT=O$3)*ISNUMBER(B_CKDATA)*B_SM*B_INTYPE,B_CKDATA)/SUMPRODUCT(ISNUMBER(B_CKDATE)*(B_CAT=O$3)*ISNUMBER(B_CKDATA)*B_SM*B_INTYPE),"")</f>
        <v/>
      </c>
      <c r="P5" s="255" t="str">
        <f>IFERROR(SUMPRODUCT(ISNUMBER(B_CKDATE)*(B_CAT=P$3)*ISNUMBER(B_CKDATA)*B_SM*B_INTYPE,B_CKDATA)/SUMPRODUCT(ISNUMBER(B_CKDATE)*(B_CAT=P$3)*ISNUMBER(B_CKDATA)*B_SM*B_INTYPE),"")</f>
        <v/>
      </c>
      <c r="Q5" s="73"/>
      <c r="R5" s="73"/>
      <c r="S5" s="73"/>
      <c r="T5" s="73"/>
      <c r="U5" s="73"/>
      <c r="V5" s="73"/>
      <c r="W5" s="73"/>
      <c r="X5" s="73"/>
      <c r="Y5" s="73"/>
      <c r="Z5" s="73"/>
      <c r="AA5" s="73"/>
      <c r="AB5" s="73"/>
      <c r="AC5" s="73"/>
      <c r="AD5" s="73"/>
      <c r="AE5" s="73"/>
      <c r="AF5" s="73"/>
      <c r="AG5" s="73"/>
      <c r="AH5" s="73"/>
      <c r="AI5" s="73"/>
      <c r="AJ5" s="73"/>
      <c r="AK5" s="73"/>
      <c r="AL5" s="73"/>
      <c r="AM5" s="73"/>
      <c r="AN5" s="73"/>
      <c r="AO5" s="73"/>
      <c r="AP5" s="73"/>
    </row>
    <row r="6" spans="1:53" s="70" customFormat="1" x14ac:dyDescent="0.2">
      <c r="C6" s="2" t="s">
        <v>352</v>
      </c>
      <c r="D6" s="13" t="str">
        <f>IFERROR(SUMPRODUCT(ISNUMBER(B_CKDATE)*ISNUMBER(B_CKDATA)*B_PM*B_INTYPE,B_CKDATA)/SUMPRODUCT(ISNUMBER(B_CKDATE)*ISNUMBER(B_CKDATA)*B_PM*B_INTYPE),"")</f>
        <v/>
      </c>
      <c r="E6" s="30" t="str">
        <f>IFERROR(SUMPRODUCT(ISNUMBER(B_CKDATE)*(B_CAT=E$3)*ISNUMBER(B_CKDATA)*B_PM*B_INTYPE,B_CKDATA)/SUMPRODUCT(ISNUMBER(B_CKDATE)*(B_CAT=E$3)*ISNUMBER(B_CKDATA)*B_PM*B_INTYPE),"")</f>
        <v/>
      </c>
      <c r="F6" s="255" t="str">
        <f>IFERROR(SUMPRODUCT(ISNUMBER(B_CKDATE)*(B_CAT=F$3)*ISNUMBER(B_CKDATA)*B_PM*B_INTYPE,B_CKDATA)/SUMPRODUCT(ISNUMBER(B_CKDATE)*(B_CAT=F$3)*ISNUMBER(B_CKDATA)*B_PM*B_INTYPE),"")</f>
        <v/>
      </c>
      <c r="G6" s="255" t="str">
        <f>IFERROR(SUMPRODUCT(ISNUMBER(B_CKDATE)*(B_CAT=G$3)*ISNUMBER(B_CKDATA)*B_PM*B_INTYPE,B_CKDATA)/SUMPRODUCT(ISNUMBER(B_CKDATE)*(B_CAT=G$3)*ISNUMBER(B_CKDATA)*B_PM*B_INTYPE),"")</f>
        <v/>
      </c>
      <c r="H6" s="255" t="str">
        <f>IFERROR(SUMPRODUCT(ISNUMBER(B_CKDATE)*(B_CAT=H$3)*ISNUMBER(B_CKDATA)*B_PM*B_INTYPE,B_CKDATA)/SUMPRODUCT(ISNUMBER(B_CKDATE)*(B_CAT=H$3)*ISNUMBER(B_CKDATA)*B_PM*B_INTYPE),"")</f>
        <v/>
      </c>
      <c r="I6" s="255" t="str">
        <f>IFERROR(SUMPRODUCT(ISNUMBER(B_CKDATE)*(B_CAT=I$3)*ISNUMBER(B_CKDATA)*B_PM*B_INTYPE,B_CKDATA)/SUMPRODUCT(ISNUMBER(B_CKDATE)*(B_CAT=I$3)*ISNUMBER(B_CKDATA)*B_PM*B_INTYPE),"")</f>
        <v/>
      </c>
      <c r="J6" s="255" t="str">
        <f>IFERROR(SUMPRODUCT(ISNUMBER(B_CKDATE)*(B_CAT=J$3)*ISNUMBER(B_CKDATA)*B_PM*B_INTYPE,B_CKDATA)/SUMPRODUCT(ISNUMBER(B_CKDATE)*(B_CAT=J$3)*ISNUMBER(B_CKDATA)*B_PM*B_INTYPE),"")</f>
        <v/>
      </c>
      <c r="K6" s="255" t="str">
        <f>IFERROR(SUMPRODUCT(ISNUMBER(B_CKDATE)*(B_CAT=K$3)*ISNUMBER(B_CKDATA)*B_PM*B_INTYPE,B_CKDATA)/SUMPRODUCT(ISNUMBER(B_CKDATE)*(B_CAT=K$3)*ISNUMBER(B_CKDATA)*B_PM*B_INTYPE),"")</f>
        <v/>
      </c>
      <c r="L6" s="255" t="str">
        <f>IFERROR(SUMPRODUCT(ISNUMBER(B_CKDATE)*(B_CAT=L$3)*ISNUMBER(B_CKDATA)*B_PM*B_INTYPE,B_CKDATA)/SUMPRODUCT(ISNUMBER(B_CKDATE)*(B_CAT=L$3)*ISNUMBER(B_CKDATA)*B_PM*B_INTYPE),"")</f>
        <v/>
      </c>
      <c r="M6" s="255" t="str">
        <f>IFERROR(SUMPRODUCT(ISNUMBER(B_CKDATE)*(B_CAT=M$3)*ISNUMBER(B_CKDATA)*B_PM*B_INTYPE,B_CKDATA)/SUMPRODUCT(ISNUMBER(B_CKDATE)*(B_CAT=M$3)*ISNUMBER(B_CKDATA)*B_PM*B_INTYPE),"")</f>
        <v/>
      </c>
      <c r="N6" s="255" t="str">
        <f>IFERROR(SUMPRODUCT(ISNUMBER(B_CKDATE)*(B_CAT=N$3)*ISNUMBER(B_CKDATA)*B_PM*B_INTYPE,B_CKDATA)/SUMPRODUCT(ISNUMBER(B_CKDATE)*(B_CAT=N$3)*ISNUMBER(B_CKDATA)*B_PM*B_INTYPE),"")</f>
        <v/>
      </c>
      <c r="O6" s="255" t="str">
        <f>IFERROR(SUMPRODUCT(ISNUMBER(B_CKDATE)*(B_CAT=O$3)*ISNUMBER(B_CKDATA)*B_PM*B_INTYPE,B_CKDATA)/SUMPRODUCT(ISNUMBER(B_CKDATE)*(B_CAT=O$3)*ISNUMBER(B_CKDATA)*B_PM*B_INTYPE),"")</f>
        <v/>
      </c>
      <c r="P6" s="255" t="str">
        <f>IFERROR(SUMPRODUCT(ISNUMBER(B_CKDATE)*(B_CAT=P$3)*ISNUMBER(B_CKDATA)*B_PM*B_INTYPE,B_CKDATA)/SUMPRODUCT(ISNUMBER(B_CKDATE)*(B_CAT=P$3)*ISNUMBER(B_CKDATA)*B_PM*B_INTYPE),"")</f>
        <v/>
      </c>
      <c r="Q6" s="73"/>
      <c r="R6" s="73"/>
      <c r="S6" s="73"/>
      <c r="T6" s="73"/>
      <c r="U6" s="73"/>
      <c r="V6" s="73"/>
      <c r="W6" s="73"/>
      <c r="X6" s="73"/>
      <c r="Y6" s="73"/>
      <c r="Z6" s="73"/>
      <c r="AA6" s="73"/>
      <c r="AB6" s="73"/>
      <c r="AC6" s="73"/>
      <c r="AD6" s="73"/>
      <c r="AE6" s="73"/>
      <c r="AF6" s="73"/>
      <c r="AG6" s="73"/>
      <c r="AH6" s="73"/>
      <c r="AI6" s="73"/>
      <c r="AJ6" s="73"/>
      <c r="AK6" s="73"/>
      <c r="AL6" s="73"/>
      <c r="AM6" s="73"/>
      <c r="AN6" s="73"/>
      <c r="AO6" s="73"/>
      <c r="AP6" s="73"/>
    </row>
    <row r="7" spans="1:53" s="210" customFormat="1" x14ac:dyDescent="0.2">
      <c r="C7" s="10"/>
      <c r="D7" s="14"/>
      <c r="E7" s="185"/>
      <c r="F7" s="185"/>
      <c r="G7" s="185"/>
      <c r="H7" s="177"/>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row>
    <row r="8" spans="1:53" x14ac:dyDescent="0.2">
      <c r="A8" s="176"/>
      <c r="B8" s="23"/>
      <c r="C8" s="23"/>
      <c r="D8" s="178"/>
      <c r="E8" s="225"/>
      <c r="G8" s="200"/>
      <c r="H8" s="182"/>
      <c r="I8" s="480" t="s">
        <v>432</v>
      </c>
      <c r="J8" s="481"/>
      <c r="K8" s="13" t="str">
        <f>IF(ISNUMBER(K$11),IFERROR(SUMPRODUCT(ISNUMBER(B_CDATA)*B_INTYPE,B_CDATA)/SUMPRODUCT(ISNUMBER(B_CDATA)*B_INTYPE),""),"")</f>
        <v/>
      </c>
      <c r="L8" s="13" t="str">
        <f>IF(ISNUMBER(L$11),IFERROR(SUMPRODUCT(ISNUMBER(B_CDATA)*B_INTYPE,B_CDATA)/SUMPRODUCT(ISNUMBER(B_CDATA)*B_INTYPE),""),"")</f>
        <v/>
      </c>
      <c r="M8" s="13" t="str">
        <f>IF(ISNUMBER(M$11),IFERROR(SUMPRODUCT(ISNUMBER(B_CDATA)*B_INTYPE,B_CDATA)/SUMPRODUCT(ISNUMBER(B_CDATA)*B_INTYPE),""),"")</f>
        <v/>
      </c>
      <c r="N8" s="13" t="str">
        <f>IF(ISNUMBER(N$11),IFERROR(SUMPRODUCT(ISNUMBER(B_CDATA)*B_INTYPE,B_CDATA)/SUMPRODUCT(ISNUMBER(B_CDATA)*B_INTYPE),""),"")</f>
        <v/>
      </c>
      <c r="O8" s="13" t="str">
        <f>IF(ISNUMBER(O$11),IFERROR(SUMPRODUCT(ISNUMBER(B_CDATA)*B_INTYPE,B_CDATA)/SUMPRODUCT(ISNUMBER(B_CDATA)*B_INTYPE),""),"")</f>
        <v/>
      </c>
      <c r="P8" s="13" t="str">
        <f>IF(ISNUMBER(P$11),IFERROR(SUMPRODUCT(ISNUMBER(B_CDATA)*B_INTYPE,B_CDATA)/SUMPRODUCT(ISNUMBER(B_CDATA)*B_INTYPE),""),"")</f>
        <v/>
      </c>
      <c r="Q8" s="74" t="str">
        <f>IF(OR(SUMPRODUCT(ISNUMBER(N15:N44)*($C$15:$C$44&lt;&gt;""))=0,NOT(ISNUMBER(Q11))),"",SUMPRODUCT(ISNUMBER(N15:N44)*($C$15:$C$44&lt;&gt;""),N15:N44)/SUMPRODUCT(ISNUMBER(N15:N44)*($C$15:$C$44&lt;&gt;"")))</f>
        <v/>
      </c>
      <c r="AZ8" s="215"/>
      <c r="BA8" s="215"/>
    </row>
    <row r="9" spans="1:53" x14ac:dyDescent="0.2">
      <c r="A9" s="176"/>
      <c r="B9" s="190"/>
      <c r="C9" s="190"/>
      <c r="D9" s="178"/>
      <c r="E9" s="226"/>
      <c r="F9" s="200"/>
      <c r="G9" s="200"/>
      <c r="H9" s="182"/>
      <c r="I9" s="13"/>
      <c r="J9" s="216" t="s">
        <v>433</v>
      </c>
      <c r="K9" s="13" t="str">
        <f>IF(ISNUMBER(K$11),IFERROR(SUMPRODUCT(ISNUMBER(B_CDATA)*B_SM*B_INTYPE,B_CDATA)/SUMPRODUCT(ISNUMBER(B_CDATA)*B_SM*B_INTYPE),""),"")</f>
        <v/>
      </c>
      <c r="L9" s="13" t="str">
        <f>IF(ISNUMBER(L$11),IFERROR(SUMPRODUCT(ISNUMBER(B_CDATA)*B_SM*B_INTYPE,B_CDATA)/SUMPRODUCT(ISNUMBER(B_CDATA)*B_SM*B_INTYPE),""),"")</f>
        <v/>
      </c>
      <c r="M9" s="13" t="str">
        <f>IF(ISNUMBER(M$11),IFERROR(SUMPRODUCT(ISNUMBER(B_CDATA)*B_SM*B_INTYPE,B_CDATA)/SUMPRODUCT(ISNUMBER(B_CDATA)*B_SM*B_INTYPE),""),"")</f>
        <v/>
      </c>
      <c r="N9" s="13" t="str">
        <f>IF(ISNUMBER(N$11),IFERROR(SUMPRODUCT(ISNUMBER(B_CDATA)*B_SM*B_INTYPE,B_CDATA)/SUMPRODUCT(ISNUMBER(B_CDATA)*B_SM*B_INTYPE),""),"")</f>
        <v/>
      </c>
      <c r="O9" s="13" t="str">
        <f>IF(ISNUMBER(O$11),IFERROR(SUMPRODUCT(ISNUMBER(B_CDATA)*B_SM*B_INTYPE,B_CDATA)/SUMPRODUCT(ISNUMBER(B_CDATA)*B_SM*B_INTYPE),""),"")</f>
        <v/>
      </c>
      <c r="P9" s="13" t="str">
        <f>IF(ISNUMBER(P$11),IFERROR(SUMPRODUCT(ISNUMBER(B_CDATA)*B_SM*B_INTYPE,B_CDATA)/SUMPRODUCT(ISNUMBER(B_CDATA)*B_SM*B_INTYPE),""),"")</f>
        <v/>
      </c>
      <c r="Q9" s="74" t="str">
        <f>IF(OR(SUMPRODUCT(($D$15:$D$44="Senior Management Involvement")*ISNUMBER(N15:N44)*($C$15:$C$44&lt;&gt;""))=0,NOT(ISNUMBER(Q11))),"",SUMPRODUCT(($D$15:$D$44="Senior Management Involvement")*ISNUMBER(N15:N44)*($C$15:$C$44&lt;&gt;""),N15:N44)/SUMPRODUCT(($D$15:$D$44="Senior Management Involvement")*ISNUMBER(N15:N44)*($C$15:$C$44&lt;&gt;"")))</f>
        <v/>
      </c>
      <c r="AZ9" s="215"/>
      <c r="BA9" s="215"/>
    </row>
    <row r="10" spans="1:53" x14ac:dyDescent="0.2">
      <c r="A10" s="176"/>
      <c r="B10" s="190"/>
      <c r="C10" s="190"/>
      <c r="D10" s="178"/>
      <c r="E10" s="226"/>
      <c r="F10" s="200"/>
      <c r="G10" s="200"/>
      <c r="H10" s="182"/>
      <c r="I10" s="480" t="s">
        <v>434</v>
      </c>
      <c r="J10" s="481"/>
      <c r="K10" s="13" t="str">
        <f>IF(ISNUMBER(K$11),IFERROR(SUMPRODUCT(ISNUMBER(B_CDATA)*B_PM*B_INTYPE,B_CDATA)/SUMPRODUCT(ISNUMBER(B_CDATA)*B_PM*B_INTYPE),""),"")</f>
        <v/>
      </c>
      <c r="L10" s="13" t="str">
        <f>IF(ISNUMBER(L$11),IFERROR(SUMPRODUCT(ISNUMBER(B_CDATA)*B_PM*B_INTYPE,B_CDATA)/SUMPRODUCT(ISNUMBER(B_CDATA)*B_PM*B_INTYPE),""),"")</f>
        <v/>
      </c>
      <c r="M10" s="13" t="str">
        <f>IF(ISNUMBER(M$11),IFERROR(SUMPRODUCT(ISNUMBER(B_CDATA)*B_PM*B_INTYPE,B_CDATA)/SUMPRODUCT(ISNUMBER(B_CDATA)*B_PM*B_INTYPE),""),"")</f>
        <v/>
      </c>
      <c r="N10" s="13" t="str">
        <f>IF(ISNUMBER(N$11),IFERROR(SUMPRODUCT(ISNUMBER(B_CDATA)*B_PM*B_INTYPE,B_CDATA)/SUMPRODUCT(ISNUMBER(B_CDATA)*B_PM*B_INTYPE),""),"")</f>
        <v/>
      </c>
      <c r="O10" s="13" t="str">
        <f>IF(ISNUMBER(O$11),IFERROR(SUMPRODUCT(ISNUMBER(B_CDATA)*B_PM*B_INTYPE,B_CDATA)/SUMPRODUCT(ISNUMBER(B_CDATA)*B_PM*B_INTYPE),""),"")</f>
        <v/>
      </c>
      <c r="P10" s="13" t="str">
        <f>IF(ISNUMBER(P$11),IFERROR(SUMPRODUCT(ISNUMBER(B_CDATA)*B_PM*B_INTYPE,B_CDATA)/SUMPRODUCT(ISNUMBER(B_CDATA)*B_PM*B_INTYPE),""),"")</f>
        <v/>
      </c>
      <c r="Q10" s="74" t="str">
        <f>IF(OR(SUMPRODUCT(($D$15:$D$44&lt;&gt;"Senior Management Involvement")*ISNUMBER(N15:N44)*($C$15:$C$44&lt;&gt;""))=0,NOT(ISNUMBER(Q11))),"",SUMPRODUCT(($D$15:$D$44&lt;&gt;"Senior Management Involvement")*ISNUMBER(N15:N44)*($C$15:$C$44&lt;&gt;""),N15:N44)/SUMPRODUCT(($D$15:$D$44&lt;&gt;"Senior Management Involvement")*ISNUMBER(N15:N44)*($C$15:$C$44&lt;&gt;"")))</f>
        <v/>
      </c>
      <c r="AZ10" s="215"/>
      <c r="BA10" s="215"/>
    </row>
    <row r="11" spans="1:53" x14ac:dyDescent="0.2">
      <c r="A11" s="176"/>
      <c r="B11" s="176"/>
      <c r="C11" s="176"/>
      <c r="D11" s="178"/>
      <c r="E11" s="178"/>
      <c r="F11" s="200"/>
      <c r="G11" s="200"/>
      <c r="H11" s="182"/>
      <c r="I11" s="482" t="s">
        <v>435</v>
      </c>
      <c r="J11" s="483"/>
      <c r="K11" s="17"/>
      <c r="L11" s="17"/>
      <c r="M11" s="17"/>
      <c r="N11" s="17"/>
      <c r="O11" s="17"/>
      <c r="P11" s="17"/>
      <c r="Q11" s="191"/>
      <c r="AZ11" s="215"/>
      <c r="BA11" s="215"/>
    </row>
    <row r="12" spans="1:53" s="224" customFormat="1" ht="63.75" x14ac:dyDescent="0.2">
      <c r="A12" s="83" t="s">
        <v>126</v>
      </c>
      <c r="B12" s="83" t="str">
        <f>MacroFilter_ColumnName</f>
        <v>QuestionType</v>
      </c>
      <c r="C12" s="83" t="s">
        <v>653</v>
      </c>
      <c r="D12" s="83" t="s">
        <v>684</v>
      </c>
      <c r="E12" s="83" t="s">
        <v>299</v>
      </c>
      <c r="F12" s="83" t="s">
        <v>293</v>
      </c>
      <c r="G12" s="83" t="s">
        <v>343</v>
      </c>
      <c r="H12" s="83" t="s">
        <v>402</v>
      </c>
      <c r="I12" s="192" t="s">
        <v>267</v>
      </c>
      <c r="J12" s="193" t="s">
        <v>404</v>
      </c>
      <c r="K12" s="83" t="s">
        <v>428</v>
      </c>
      <c r="L12" s="83" t="s">
        <v>279</v>
      </c>
      <c r="M12" s="83" t="s">
        <v>280</v>
      </c>
      <c r="N12" s="83" t="s">
        <v>965</v>
      </c>
      <c r="O12" s="83" t="s">
        <v>966</v>
      </c>
      <c r="P12" s="83" t="s">
        <v>429</v>
      </c>
      <c r="Q12" s="195" t="s">
        <v>472</v>
      </c>
    </row>
    <row r="13" spans="1:53" s="212" customFormat="1" ht="63.75" x14ac:dyDescent="0.2">
      <c r="A13" s="7" t="s">
        <v>177</v>
      </c>
      <c r="B13" s="18" t="s">
        <v>533</v>
      </c>
      <c r="C13" s="7">
        <v>2</v>
      </c>
      <c r="D13" s="7" t="s">
        <v>285</v>
      </c>
      <c r="E13" s="5" t="s">
        <v>290</v>
      </c>
      <c r="F13" s="12" t="s">
        <v>863</v>
      </c>
      <c r="G13" s="12"/>
      <c r="H13" s="405" t="s">
        <v>1047</v>
      </c>
      <c r="I13" s="8"/>
      <c r="J13" s="71" t="str">
        <f>IFERROR(SUMPRODUCT(ISNUMBER(B_CKDATE)*ISNUMBER(B_RDATA),B_RDATA)/SUMPRODUCT(ISNUMBER(B_CKDATE)*ISNUMBER(B_RDATA)),"")</f>
        <v/>
      </c>
      <c r="K13" s="22"/>
      <c r="L13" s="22"/>
      <c r="M13" s="22"/>
      <c r="N13" s="22"/>
      <c r="O13" s="22"/>
      <c r="P13" s="22"/>
      <c r="Q13" s="75"/>
      <c r="R13" s="211"/>
      <c r="S13" s="211"/>
      <c r="T13" s="211"/>
      <c r="U13" s="211"/>
      <c r="V13" s="211"/>
      <c r="W13" s="211"/>
      <c r="X13" s="211"/>
      <c r="Y13" s="211"/>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A13" s="211"/>
    </row>
    <row r="14" spans="1:53" s="212" customFormat="1" ht="51" x14ac:dyDescent="0.2">
      <c r="A14" s="7" t="s">
        <v>178</v>
      </c>
      <c r="B14" s="18" t="s">
        <v>533</v>
      </c>
      <c r="C14" s="7">
        <v>2</v>
      </c>
      <c r="D14" s="7" t="s">
        <v>285</v>
      </c>
      <c r="E14" s="5" t="s">
        <v>290</v>
      </c>
      <c r="F14" s="25" t="s">
        <v>659</v>
      </c>
      <c r="G14" s="12" t="s">
        <v>864</v>
      </c>
      <c r="H14" s="12"/>
      <c r="I14" s="8"/>
      <c r="J14" s="22"/>
      <c r="K14" s="22"/>
      <c r="L14" s="22"/>
      <c r="M14" s="22"/>
      <c r="N14" s="22"/>
      <c r="O14" s="22"/>
      <c r="P14" s="22"/>
      <c r="Q14" s="75"/>
      <c r="R14" s="211"/>
      <c r="S14" s="211"/>
      <c r="T14" s="211"/>
      <c r="U14" s="211"/>
      <c r="V14" s="211"/>
      <c r="W14" s="211"/>
      <c r="X14" s="211"/>
      <c r="Y14" s="211"/>
      <c r="Z14" s="211"/>
      <c r="AA14" s="211"/>
      <c r="AB14" s="211"/>
      <c r="AC14" s="211"/>
      <c r="AD14" s="211"/>
      <c r="AE14" s="211"/>
      <c r="AF14" s="211"/>
      <c r="AG14" s="211"/>
      <c r="AH14" s="211"/>
      <c r="AI14" s="211"/>
      <c r="AJ14" s="211"/>
      <c r="AK14" s="211"/>
      <c r="AL14" s="211"/>
      <c r="AM14" s="211"/>
      <c r="AN14" s="211"/>
      <c r="AO14" s="211"/>
      <c r="AP14" s="211"/>
      <c r="AQ14" s="211"/>
      <c r="AR14" s="211"/>
      <c r="AS14" s="211"/>
      <c r="AT14" s="211"/>
      <c r="AU14" s="211"/>
      <c r="AV14" s="211"/>
      <c r="AW14" s="211"/>
      <c r="AX14" s="211"/>
      <c r="AY14" s="211"/>
      <c r="AZ14" s="211"/>
      <c r="BA14" s="211"/>
    </row>
    <row r="15" spans="1:53" s="212" customFormat="1" x14ac:dyDescent="0.2">
      <c r="A15" s="7" t="s">
        <v>179</v>
      </c>
      <c r="B15" s="18" t="s">
        <v>533</v>
      </c>
      <c r="C15" s="7">
        <v>2</v>
      </c>
      <c r="D15" s="7" t="s">
        <v>285</v>
      </c>
      <c r="E15" s="5" t="s">
        <v>290</v>
      </c>
      <c r="F15" s="217" t="s">
        <v>362</v>
      </c>
      <c r="G15" s="12"/>
      <c r="H15" s="12"/>
      <c r="I15" s="8"/>
      <c r="J15" s="71" t="str">
        <f>IFERROR(SUMPRODUCT(ISNUMBER(B_CKDATE)*ISNUMBER(B_RDATA),B_RDATA)/SUMPRODUCT(ISNUMBER(B_CKDATE)*ISNUMBER(B_RDATA)),"")</f>
        <v/>
      </c>
      <c r="K15" s="22"/>
      <c r="L15" s="22"/>
      <c r="M15" s="22"/>
      <c r="N15" s="22"/>
      <c r="O15" s="22"/>
      <c r="P15" s="22"/>
      <c r="Q15" s="75"/>
      <c r="R15" s="211"/>
      <c r="S15" s="211"/>
      <c r="T15" s="211"/>
      <c r="U15" s="211"/>
      <c r="V15" s="211"/>
      <c r="W15" s="211"/>
      <c r="X15" s="211"/>
      <c r="Y15" s="211"/>
      <c r="Z15" s="211"/>
      <c r="AA15" s="211"/>
      <c r="AB15" s="211"/>
      <c r="AC15" s="211"/>
      <c r="AD15" s="211"/>
      <c r="AE15" s="211"/>
      <c r="AF15" s="211"/>
      <c r="AG15" s="211"/>
      <c r="AH15" s="211"/>
      <c r="AI15" s="211"/>
      <c r="AJ15" s="211"/>
      <c r="AK15" s="211"/>
      <c r="AL15" s="211"/>
      <c r="AM15" s="211"/>
      <c r="AN15" s="211"/>
      <c r="AO15" s="211"/>
      <c r="AP15" s="211"/>
      <c r="AQ15" s="211"/>
      <c r="AR15" s="211"/>
      <c r="AS15" s="211"/>
      <c r="AT15" s="211"/>
      <c r="AU15" s="211"/>
      <c r="AV15" s="211"/>
      <c r="AW15" s="211"/>
      <c r="AX15" s="211"/>
      <c r="AY15" s="211"/>
      <c r="AZ15" s="211"/>
      <c r="BA15" s="211"/>
    </row>
    <row r="16" spans="1:53" s="212" customFormat="1" x14ac:dyDescent="0.2">
      <c r="A16" s="5" t="s">
        <v>180</v>
      </c>
      <c r="B16" s="18" t="s">
        <v>533</v>
      </c>
      <c r="C16" s="7">
        <v>2</v>
      </c>
      <c r="D16" s="7" t="s">
        <v>285</v>
      </c>
      <c r="E16" s="5" t="s">
        <v>290</v>
      </c>
      <c r="F16" s="218" t="s">
        <v>19</v>
      </c>
      <c r="G16" s="5"/>
      <c r="H16" s="12"/>
      <c r="I16" s="8"/>
      <c r="J16" s="71" t="str">
        <f>IFERROR(SUMPRODUCT(ISNUMBER(B_CKDATE)*ISNUMBER(B_RDATA),B_RDATA)/SUMPRODUCT(ISNUMBER(B_CKDATE)*ISNUMBER(B_RDATA)),"")</f>
        <v/>
      </c>
      <c r="K16" s="22"/>
      <c r="L16" s="22"/>
      <c r="M16" s="22"/>
      <c r="N16" s="22"/>
      <c r="O16" s="22"/>
      <c r="P16" s="22"/>
      <c r="Q16" s="75"/>
      <c r="R16" s="211"/>
      <c r="S16" s="211"/>
      <c r="T16" s="211"/>
      <c r="U16" s="211"/>
      <c r="V16" s="211"/>
      <c r="W16" s="211"/>
      <c r="X16" s="211"/>
      <c r="Y16" s="211"/>
      <c r="Z16" s="211"/>
      <c r="AA16" s="211"/>
      <c r="AB16" s="211"/>
      <c r="AC16" s="211"/>
      <c r="AD16" s="211"/>
      <c r="AE16" s="211"/>
      <c r="AF16" s="211"/>
      <c r="AG16" s="211"/>
      <c r="AH16" s="211"/>
      <c r="AI16" s="211"/>
      <c r="AJ16" s="211"/>
      <c r="AK16" s="211"/>
      <c r="AL16" s="211"/>
      <c r="AM16" s="211"/>
      <c r="AN16" s="211"/>
      <c r="AO16" s="211"/>
      <c r="AP16" s="211"/>
      <c r="AQ16" s="211"/>
      <c r="AR16" s="211"/>
      <c r="AS16" s="211"/>
      <c r="AT16" s="211"/>
      <c r="AU16" s="211"/>
      <c r="AV16" s="211"/>
      <c r="AW16" s="211"/>
      <c r="AX16" s="211"/>
      <c r="AY16" s="211"/>
      <c r="AZ16" s="211"/>
      <c r="BA16" s="211"/>
    </row>
    <row r="17" spans="1:53" s="212" customFormat="1" x14ac:dyDescent="0.2">
      <c r="A17" s="5" t="s">
        <v>181</v>
      </c>
      <c r="B17" s="18" t="s">
        <v>533</v>
      </c>
      <c r="C17" s="7">
        <v>2</v>
      </c>
      <c r="D17" s="7" t="s">
        <v>285</v>
      </c>
      <c r="E17" s="5" t="s">
        <v>290</v>
      </c>
      <c r="F17" s="218" t="s">
        <v>363</v>
      </c>
      <c r="G17" s="5"/>
      <c r="H17" s="12"/>
      <c r="I17" s="8"/>
      <c r="J17" s="71" t="str">
        <f>IFERROR(SUMPRODUCT(ISNUMBER(B_CKDATE)*ISNUMBER(B_RDATA),B_RDATA)/SUMPRODUCT(ISNUMBER(B_CKDATE)*ISNUMBER(B_RDATA)),"")</f>
        <v/>
      </c>
      <c r="K17" s="22"/>
      <c r="L17" s="22"/>
      <c r="M17" s="22"/>
      <c r="N17" s="22"/>
      <c r="O17" s="22"/>
      <c r="P17" s="22"/>
      <c r="Q17" s="75"/>
      <c r="R17" s="211"/>
      <c r="S17" s="211"/>
      <c r="T17" s="211"/>
      <c r="U17" s="211"/>
      <c r="V17" s="211"/>
      <c r="W17" s="211"/>
      <c r="X17" s="211"/>
      <c r="Y17" s="211"/>
      <c r="Z17" s="211"/>
      <c r="AA17" s="211"/>
      <c r="AB17" s="211"/>
      <c r="AC17" s="211"/>
      <c r="AD17" s="211"/>
      <c r="AE17" s="211"/>
      <c r="AF17" s="211"/>
      <c r="AG17" s="211"/>
      <c r="AH17" s="211"/>
      <c r="AI17" s="211"/>
      <c r="AJ17" s="211"/>
      <c r="AK17" s="211"/>
      <c r="AL17" s="211"/>
      <c r="AM17" s="211"/>
      <c r="AN17" s="211"/>
      <c r="AO17" s="211"/>
      <c r="AP17" s="211"/>
      <c r="AQ17" s="211"/>
      <c r="AR17" s="211"/>
      <c r="AS17" s="211"/>
      <c r="AT17" s="211"/>
      <c r="AU17" s="211"/>
      <c r="AV17" s="211"/>
      <c r="AW17" s="211"/>
      <c r="AX17" s="211"/>
      <c r="AY17" s="211"/>
      <c r="AZ17" s="211"/>
      <c r="BA17" s="211"/>
    </row>
    <row r="18" spans="1:53" s="212" customFormat="1" x14ac:dyDescent="0.2">
      <c r="A18" s="5" t="s">
        <v>182</v>
      </c>
      <c r="B18" s="18" t="s">
        <v>533</v>
      </c>
      <c r="C18" s="7">
        <v>2</v>
      </c>
      <c r="D18" s="7" t="s">
        <v>285</v>
      </c>
      <c r="E18" s="5" t="s">
        <v>290</v>
      </c>
      <c r="F18" s="218" t="s">
        <v>300</v>
      </c>
      <c r="G18" s="5"/>
      <c r="H18" s="12"/>
      <c r="I18" s="8"/>
      <c r="J18" s="71" t="str">
        <f>IFERROR(SUMPRODUCT(ISNUMBER(B_CKDATE)*ISNUMBER(B_RDATA),B_RDATA)/SUMPRODUCT(ISNUMBER(B_CKDATE)*ISNUMBER(B_RDATA)),"")</f>
        <v/>
      </c>
      <c r="K18" s="22"/>
      <c r="L18" s="22"/>
      <c r="M18" s="22"/>
      <c r="N18" s="22"/>
      <c r="O18" s="22"/>
      <c r="P18" s="22"/>
      <c r="Q18" s="75"/>
      <c r="R18" s="211"/>
      <c r="S18" s="211"/>
      <c r="T18" s="211"/>
      <c r="U18" s="211"/>
      <c r="V18" s="211"/>
      <c r="W18" s="211"/>
      <c r="X18" s="211"/>
      <c r="Y18" s="211"/>
      <c r="Z18" s="211"/>
      <c r="AA18" s="211"/>
      <c r="AB18" s="211"/>
      <c r="AC18" s="211"/>
      <c r="AD18" s="211"/>
      <c r="AE18" s="211"/>
      <c r="AF18" s="211"/>
      <c r="AG18" s="211"/>
      <c r="AH18" s="211"/>
      <c r="AI18" s="211"/>
      <c r="AJ18" s="211"/>
      <c r="AK18" s="211"/>
      <c r="AL18" s="211"/>
      <c r="AM18" s="211"/>
      <c r="AN18" s="211"/>
      <c r="AO18" s="211"/>
      <c r="AP18" s="211"/>
      <c r="AQ18" s="211"/>
      <c r="AR18" s="211"/>
      <c r="AS18" s="211"/>
      <c r="AT18" s="211"/>
      <c r="AU18" s="211"/>
      <c r="AV18" s="211"/>
      <c r="AW18" s="211"/>
      <c r="AX18" s="211"/>
      <c r="AY18" s="211"/>
      <c r="AZ18" s="211"/>
      <c r="BA18" s="211"/>
    </row>
    <row r="19" spans="1:53" s="212" customFormat="1" x14ac:dyDescent="0.2">
      <c r="A19" s="5" t="s">
        <v>183</v>
      </c>
      <c r="B19" s="18" t="s">
        <v>533</v>
      </c>
      <c r="C19" s="7">
        <v>2</v>
      </c>
      <c r="D19" s="7" t="s">
        <v>285</v>
      </c>
      <c r="E19" s="5" t="s">
        <v>290</v>
      </c>
      <c r="F19" s="218" t="s">
        <v>49</v>
      </c>
      <c r="G19" s="5"/>
      <c r="H19" s="12"/>
      <c r="I19" s="8"/>
      <c r="J19" s="71" t="str">
        <f>IFERROR(SUMPRODUCT(ISNUMBER(B_CKDATE)*ISNUMBER(B_RDATA),B_RDATA)/SUMPRODUCT(ISNUMBER(B_CKDATE)*ISNUMBER(B_RDATA)),"")</f>
        <v/>
      </c>
      <c r="K19" s="22"/>
      <c r="L19" s="22"/>
      <c r="M19" s="22"/>
      <c r="N19" s="22"/>
      <c r="O19" s="22"/>
      <c r="P19" s="22"/>
      <c r="Q19" s="75"/>
      <c r="R19" s="211"/>
      <c r="S19" s="211"/>
      <c r="T19" s="211"/>
      <c r="U19" s="211"/>
      <c r="V19" s="211"/>
      <c r="W19" s="211"/>
      <c r="X19" s="211"/>
      <c r="Y19" s="211"/>
      <c r="Z19" s="211"/>
      <c r="AA19" s="211"/>
      <c r="AB19" s="211"/>
      <c r="AC19" s="211"/>
      <c r="AD19" s="211"/>
      <c r="AE19" s="211"/>
      <c r="AF19" s="211"/>
      <c r="AG19" s="211"/>
      <c r="AH19" s="211"/>
      <c r="AI19" s="211"/>
      <c r="AJ19" s="211"/>
      <c r="AK19" s="211"/>
      <c r="AL19" s="211"/>
      <c r="AM19" s="211"/>
      <c r="AN19" s="211"/>
      <c r="AO19" s="211"/>
      <c r="AP19" s="211"/>
      <c r="AQ19" s="211"/>
      <c r="AR19" s="211"/>
      <c r="AS19" s="211"/>
      <c r="AT19" s="211"/>
      <c r="AU19" s="211"/>
      <c r="AV19" s="211"/>
      <c r="AW19" s="211"/>
      <c r="AX19" s="211"/>
      <c r="AY19" s="211"/>
      <c r="AZ19" s="211"/>
      <c r="BA19" s="211"/>
    </row>
    <row r="20" spans="1:53" s="212" customFormat="1" x14ac:dyDescent="0.2">
      <c r="A20" s="5" t="s">
        <v>184</v>
      </c>
      <c r="B20" s="18" t="s">
        <v>533</v>
      </c>
      <c r="C20" s="7">
        <v>2</v>
      </c>
      <c r="D20" s="7" t="s">
        <v>285</v>
      </c>
      <c r="E20" s="5" t="s">
        <v>290</v>
      </c>
      <c r="F20" s="218" t="s">
        <v>865</v>
      </c>
      <c r="G20" s="5"/>
      <c r="H20" s="12"/>
      <c r="I20" s="8"/>
      <c r="J20" s="71" t="str">
        <f>IFERROR(SUMPRODUCT(ISNUMBER(B_CKDATE)*ISNUMBER(B_RDATA),B_RDATA)/SUMPRODUCT(ISNUMBER(B_CKDATE)*ISNUMBER(B_RDATA)),"")</f>
        <v/>
      </c>
      <c r="K20" s="22"/>
      <c r="L20" s="22"/>
      <c r="M20" s="22"/>
      <c r="N20" s="22"/>
      <c r="O20" s="22"/>
      <c r="P20" s="22"/>
      <c r="Q20" s="75"/>
      <c r="R20" s="211"/>
      <c r="S20" s="211"/>
      <c r="T20" s="211"/>
      <c r="U20" s="211"/>
      <c r="V20" s="211"/>
      <c r="W20" s="211"/>
      <c r="X20" s="211"/>
      <c r="Y20" s="211"/>
      <c r="Z20" s="211"/>
      <c r="AA20" s="211"/>
      <c r="AB20" s="211"/>
      <c r="AC20" s="211"/>
      <c r="AD20" s="211"/>
      <c r="AE20" s="211"/>
      <c r="AF20" s="211"/>
      <c r="AG20" s="211"/>
      <c r="AH20" s="211"/>
      <c r="AI20" s="211"/>
      <c r="AJ20" s="211"/>
      <c r="AK20" s="211"/>
      <c r="AL20" s="211"/>
      <c r="AM20" s="211"/>
      <c r="AN20" s="211"/>
      <c r="AO20" s="211"/>
      <c r="AP20" s="211"/>
      <c r="AQ20" s="211"/>
      <c r="AR20" s="211"/>
      <c r="AS20" s="211"/>
      <c r="AT20" s="211"/>
      <c r="AU20" s="211"/>
      <c r="AV20" s="211"/>
      <c r="AW20" s="211"/>
      <c r="AX20" s="211"/>
      <c r="AY20" s="211"/>
      <c r="AZ20" s="211"/>
      <c r="BA20" s="211"/>
    </row>
    <row r="21" spans="1:53" s="212" customFormat="1" x14ac:dyDescent="0.2">
      <c r="A21" s="5" t="s">
        <v>185</v>
      </c>
      <c r="B21" s="18" t="s">
        <v>534</v>
      </c>
      <c r="C21" s="7">
        <v>2</v>
      </c>
      <c r="D21" s="7" t="s">
        <v>285</v>
      </c>
      <c r="E21" s="5" t="s">
        <v>290</v>
      </c>
      <c r="F21" s="218" t="s">
        <v>365</v>
      </c>
      <c r="G21" s="5"/>
      <c r="H21" s="12"/>
      <c r="I21" s="8"/>
      <c r="J21" s="71" t="str">
        <f>IFERROR(SUMPRODUCT(ISNUMBER(B_CKDATE)*ISNUMBER(B_RDATA),B_RDATA)/SUMPRODUCT(ISNUMBER(B_CKDATE)*ISNUMBER(B_RDATA)),"")</f>
        <v/>
      </c>
      <c r="K21" s="22"/>
      <c r="L21" s="22"/>
      <c r="M21" s="22"/>
      <c r="N21" s="22"/>
      <c r="O21" s="22"/>
      <c r="P21" s="22"/>
      <c r="Q21" s="75"/>
      <c r="R21" s="211"/>
      <c r="S21" s="211"/>
      <c r="T21" s="211"/>
      <c r="U21" s="211"/>
      <c r="V21" s="211"/>
      <c r="W21" s="211"/>
      <c r="X21" s="211"/>
      <c r="Y21" s="211"/>
      <c r="Z21" s="211"/>
      <c r="AA21" s="211"/>
      <c r="AB21" s="211"/>
      <c r="AC21" s="211"/>
      <c r="AD21" s="211"/>
      <c r="AE21" s="211"/>
      <c r="AF21" s="211"/>
      <c r="AG21" s="211"/>
      <c r="AH21" s="211"/>
      <c r="AI21" s="211"/>
      <c r="AJ21" s="211"/>
      <c r="AK21" s="211"/>
      <c r="AL21" s="211"/>
      <c r="AM21" s="211"/>
      <c r="AN21" s="211"/>
      <c r="AO21" s="211"/>
      <c r="AP21" s="211"/>
      <c r="AQ21" s="211"/>
      <c r="AR21" s="211"/>
      <c r="AS21" s="211"/>
      <c r="AT21" s="211"/>
      <c r="AU21" s="211"/>
      <c r="AV21" s="211"/>
      <c r="AW21" s="211"/>
      <c r="AX21" s="211"/>
      <c r="AY21" s="211"/>
      <c r="AZ21" s="211"/>
      <c r="BA21" s="211"/>
    </row>
    <row r="22" spans="1:53" s="212" customFormat="1" x14ac:dyDescent="0.2">
      <c r="A22" s="5" t="s">
        <v>186</v>
      </c>
      <c r="B22" s="18" t="s">
        <v>534</v>
      </c>
      <c r="C22" s="7">
        <v>2</v>
      </c>
      <c r="D22" s="7" t="s">
        <v>285</v>
      </c>
      <c r="E22" s="5" t="s">
        <v>290</v>
      </c>
      <c r="F22" s="218" t="s">
        <v>660</v>
      </c>
      <c r="G22" s="5"/>
      <c r="H22" s="12"/>
      <c r="I22" s="8"/>
      <c r="J22" s="71" t="str">
        <f>IFERROR(SUMPRODUCT(ISNUMBER(B_CKDATE)*ISNUMBER(B_RDATA),B_RDATA)/SUMPRODUCT(ISNUMBER(B_CKDATE)*ISNUMBER(B_RDATA)),"")</f>
        <v/>
      </c>
      <c r="K22" s="22"/>
      <c r="L22" s="22"/>
      <c r="M22" s="22"/>
      <c r="N22" s="22"/>
      <c r="O22" s="22"/>
      <c r="P22" s="22"/>
      <c r="Q22" s="75"/>
      <c r="R22" s="211"/>
      <c r="S22" s="211"/>
      <c r="T22" s="211"/>
      <c r="U22" s="211"/>
      <c r="V22" s="211"/>
      <c r="W22" s="211"/>
      <c r="X22" s="211"/>
      <c r="Y22" s="211"/>
      <c r="Z22" s="211"/>
      <c r="AA22" s="211"/>
      <c r="AB22" s="211"/>
      <c r="AC22" s="211"/>
      <c r="AD22" s="211"/>
      <c r="AE22" s="211"/>
      <c r="AF22" s="211"/>
      <c r="AG22" s="211"/>
      <c r="AH22" s="211"/>
      <c r="AI22" s="211"/>
      <c r="AJ22" s="211"/>
      <c r="AK22" s="211"/>
      <c r="AL22" s="211"/>
      <c r="AM22" s="211"/>
      <c r="AN22" s="211"/>
      <c r="AO22" s="211"/>
      <c r="AP22" s="211"/>
      <c r="AQ22" s="211"/>
      <c r="AR22" s="211"/>
      <c r="AS22" s="211"/>
      <c r="AT22" s="211"/>
      <c r="AU22" s="211"/>
      <c r="AV22" s="211"/>
      <c r="AW22" s="211"/>
      <c r="AX22" s="211"/>
      <c r="AY22" s="211"/>
      <c r="AZ22" s="211"/>
      <c r="BA22" s="211"/>
    </row>
    <row r="23" spans="1:53" s="212" customFormat="1" x14ac:dyDescent="0.2">
      <c r="A23" s="5" t="s">
        <v>187</v>
      </c>
      <c r="B23" s="18" t="s">
        <v>534</v>
      </c>
      <c r="C23" s="7">
        <v>2</v>
      </c>
      <c r="D23" s="7" t="s">
        <v>285</v>
      </c>
      <c r="E23" s="5" t="s">
        <v>290</v>
      </c>
      <c r="F23" s="218" t="s">
        <v>311</v>
      </c>
      <c r="G23" s="5"/>
      <c r="H23" s="12"/>
      <c r="I23" s="8"/>
      <c r="J23" s="71" t="str">
        <f>IFERROR(SUMPRODUCT(ISNUMBER(B_CKDATE)*ISNUMBER(B_RDATA),B_RDATA)/SUMPRODUCT(ISNUMBER(B_CKDATE)*ISNUMBER(B_RDATA)),"")</f>
        <v/>
      </c>
      <c r="K23" s="22"/>
      <c r="L23" s="22"/>
      <c r="M23" s="22"/>
      <c r="N23" s="22"/>
      <c r="O23" s="22"/>
      <c r="P23" s="22"/>
      <c r="Q23" s="75"/>
      <c r="R23" s="211"/>
      <c r="S23" s="211"/>
      <c r="T23" s="211"/>
      <c r="U23" s="211"/>
      <c r="V23" s="211"/>
      <c r="W23" s="211"/>
      <c r="X23" s="211"/>
      <c r="Y23" s="211"/>
      <c r="Z23" s="211"/>
      <c r="AA23" s="211"/>
      <c r="AB23" s="211"/>
      <c r="AC23" s="211"/>
      <c r="AD23" s="211"/>
      <c r="AE23" s="211"/>
      <c r="AF23" s="211"/>
      <c r="AG23" s="211"/>
      <c r="AH23" s="211"/>
      <c r="AI23" s="211"/>
      <c r="AJ23" s="211"/>
      <c r="AK23" s="211"/>
      <c r="AL23" s="211"/>
      <c r="AM23" s="211"/>
      <c r="AN23" s="211"/>
      <c r="AO23" s="211"/>
      <c r="AP23" s="211"/>
      <c r="AQ23" s="211"/>
      <c r="AR23" s="211"/>
      <c r="AS23" s="211"/>
      <c r="AT23" s="211"/>
      <c r="AU23" s="211"/>
      <c r="AV23" s="211"/>
      <c r="AW23" s="211"/>
      <c r="AX23" s="211"/>
      <c r="AY23" s="211"/>
      <c r="AZ23" s="211"/>
      <c r="BA23" s="211"/>
    </row>
    <row r="24" spans="1:53" s="212" customFormat="1" x14ac:dyDescent="0.2">
      <c r="A24" s="5" t="s">
        <v>188</v>
      </c>
      <c r="B24" s="18" t="s">
        <v>535</v>
      </c>
      <c r="C24" s="7">
        <v>2</v>
      </c>
      <c r="D24" s="7" t="s">
        <v>285</v>
      </c>
      <c r="E24" s="5" t="s">
        <v>290</v>
      </c>
      <c r="F24" s="218" t="s">
        <v>661</v>
      </c>
      <c r="G24" s="5"/>
      <c r="H24" s="12"/>
      <c r="I24" s="8"/>
      <c r="J24" s="71" t="str">
        <f>IFERROR(SUMPRODUCT(ISNUMBER(B_CKDATE)*ISNUMBER(B_RDATA),B_RDATA)/SUMPRODUCT(ISNUMBER(B_CKDATE)*ISNUMBER(B_RDATA)),"")</f>
        <v/>
      </c>
      <c r="K24" s="22"/>
      <c r="L24" s="22"/>
      <c r="M24" s="22"/>
      <c r="N24" s="22"/>
      <c r="O24" s="22"/>
      <c r="P24" s="22"/>
      <c r="Q24" s="75"/>
      <c r="R24" s="211"/>
      <c r="S24" s="211"/>
      <c r="T24" s="211"/>
      <c r="U24" s="211"/>
      <c r="V24" s="211"/>
      <c r="W24" s="211"/>
      <c r="X24" s="211"/>
      <c r="Y24" s="211"/>
      <c r="Z24" s="211"/>
      <c r="AA24" s="211"/>
      <c r="AB24" s="211"/>
      <c r="AC24" s="211"/>
      <c r="AD24" s="211"/>
      <c r="AE24" s="211"/>
      <c r="AF24" s="211"/>
      <c r="AG24" s="211"/>
      <c r="AH24" s="211"/>
      <c r="AI24" s="211"/>
      <c r="AJ24" s="211"/>
      <c r="AK24" s="211"/>
      <c r="AL24" s="211"/>
      <c r="AM24" s="211"/>
      <c r="AN24" s="211"/>
      <c r="AO24" s="211"/>
      <c r="AP24" s="211"/>
      <c r="AQ24" s="211"/>
      <c r="AR24" s="211"/>
      <c r="AS24" s="211"/>
      <c r="AT24" s="211"/>
      <c r="AU24" s="211"/>
      <c r="AV24" s="211"/>
      <c r="AW24" s="211"/>
      <c r="AX24" s="211"/>
      <c r="AY24" s="211"/>
      <c r="AZ24" s="211"/>
      <c r="BA24" s="211"/>
    </row>
    <row r="25" spans="1:53" s="212" customFormat="1" x14ac:dyDescent="0.2">
      <c r="A25" s="5" t="s">
        <v>189</v>
      </c>
      <c r="B25" s="18" t="s">
        <v>535</v>
      </c>
      <c r="C25" s="7">
        <v>2</v>
      </c>
      <c r="D25" s="7" t="s">
        <v>285</v>
      </c>
      <c r="E25" s="5" t="s">
        <v>290</v>
      </c>
      <c r="F25" s="218" t="s">
        <v>662</v>
      </c>
      <c r="G25" s="5"/>
      <c r="H25" s="12"/>
      <c r="I25" s="8"/>
      <c r="J25" s="71" t="str">
        <f>IFERROR(SUMPRODUCT(ISNUMBER(B_CKDATE)*ISNUMBER(B_RDATA),B_RDATA)/SUMPRODUCT(ISNUMBER(B_CKDATE)*ISNUMBER(B_RDATA)),"")</f>
        <v/>
      </c>
      <c r="K25" s="22"/>
      <c r="L25" s="22"/>
      <c r="M25" s="22"/>
      <c r="N25" s="22"/>
      <c r="O25" s="22"/>
      <c r="P25" s="22"/>
      <c r="Q25" s="75"/>
      <c r="R25" s="211"/>
      <c r="S25" s="211"/>
      <c r="T25" s="211"/>
      <c r="U25" s="211"/>
      <c r="V25" s="211"/>
      <c r="W25" s="211"/>
      <c r="X25" s="211"/>
      <c r="Y25" s="211"/>
      <c r="Z25" s="211"/>
      <c r="AA25" s="211"/>
      <c r="AB25" s="211"/>
      <c r="AC25" s="211"/>
      <c r="AD25" s="211"/>
      <c r="AE25" s="211"/>
      <c r="AF25" s="211"/>
      <c r="AG25" s="211"/>
      <c r="AH25" s="211"/>
      <c r="AI25" s="211"/>
      <c r="AJ25" s="211"/>
      <c r="AK25" s="211"/>
      <c r="AL25" s="211"/>
      <c r="AM25" s="211"/>
      <c r="AN25" s="211"/>
      <c r="AO25" s="211"/>
      <c r="AP25" s="211"/>
      <c r="AQ25" s="211"/>
      <c r="AR25" s="211"/>
      <c r="AS25" s="211"/>
      <c r="AT25" s="211"/>
      <c r="AU25" s="211"/>
      <c r="AV25" s="211"/>
      <c r="AW25" s="211"/>
      <c r="AX25" s="211"/>
      <c r="AY25" s="211"/>
      <c r="AZ25" s="211"/>
      <c r="BA25" s="211"/>
    </row>
    <row r="26" spans="1:53" s="212" customFormat="1" x14ac:dyDescent="0.2">
      <c r="A26" s="5" t="s">
        <v>190</v>
      </c>
      <c r="B26" s="18" t="s">
        <v>535</v>
      </c>
      <c r="C26" s="7">
        <v>2</v>
      </c>
      <c r="D26" s="7" t="s">
        <v>285</v>
      </c>
      <c r="E26" s="5" t="s">
        <v>290</v>
      </c>
      <c r="F26" s="218" t="s">
        <v>663</v>
      </c>
      <c r="G26" s="5"/>
      <c r="H26" s="12"/>
      <c r="I26" s="8"/>
      <c r="J26" s="71" t="str">
        <f>IFERROR(SUMPRODUCT(ISNUMBER(B_CKDATE)*ISNUMBER(B_RDATA),B_RDATA)/SUMPRODUCT(ISNUMBER(B_CKDATE)*ISNUMBER(B_RDATA)),"")</f>
        <v/>
      </c>
      <c r="K26" s="22"/>
      <c r="L26" s="22"/>
      <c r="M26" s="22"/>
      <c r="N26" s="22"/>
      <c r="O26" s="22"/>
      <c r="P26" s="22"/>
      <c r="Q26" s="75"/>
      <c r="R26" s="211"/>
      <c r="S26" s="211"/>
      <c r="T26" s="211"/>
      <c r="U26" s="211"/>
      <c r="V26" s="211"/>
      <c r="W26" s="211"/>
      <c r="X26" s="211"/>
      <c r="Y26" s="211"/>
      <c r="Z26" s="211"/>
      <c r="AA26" s="211"/>
      <c r="AB26" s="211"/>
      <c r="AC26" s="211"/>
      <c r="AD26" s="211"/>
      <c r="AE26" s="211"/>
      <c r="AF26" s="211"/>
      <c r="AG26" s="211"/>
      <c r="AH26" s="211"/>
      <c r="AI26" s="211"/>
      <c r="AJ26" s="211"/>
      <c r="AK26" s="211"/>
      <c r="AL26" s="211"/>
      <c r="AM26" s="211"/>
      <c r="AN26" s="211"/>
      <c r="AO26" s="211"/>
      <c r="AP26" s="211"/>
      <c r="AQ26" s="211"/>
      <c r="AR26" s="211"/>
      <c r="AS26" s="211"/>
      <c r="AT26" s="211"/>
      <c r="AU26" s="211"/>
      <c r="AV26" s="211"/>
      <c r="AW26" s="211"/>
      <c r="AX26" s="211"/>
      <c r="AY26" s="211"/>
      <c r="AZ26" s="211"/>
      <c r="BA26" s="211"/>
    </row>
    <row r="27" spans="1:53" s="212" customFormat="1" x14ac:dyDescent="0.2">
      <c r="A27" s="5" t="s">
        <v>191</v>
      </c>
      <c r="B27" s="18" t="s">
        <v>535</v>
      </c>
      <c r="C27" s="7">
        <v>2</v>
      </c>
      <c r="D27" s="7" t="s">
        <v>285</v>
      </c>
      <c r="E27" s="5" t="s">
        <v>290</v>
      </c>
      <c r="F27" s="218" t="s">
        <v>50</v>
      </c>
      <c r="G27" s="5"/>
      <c r="H27" s="12"/>
      <c r="I27" s="8"/>
      <c r="J27" s="71" t="str">
        <f>IFERROR(SUMPRODUCT(ISNUMBER(B_CKDATE)*ISNUMBER(B_RDATA),B_RDATA)/SUMPRODUCT(ISNUMBER(B_CKDATE)*ISNUMBER(B_RDATA)),"")</f>
        <v/>
      </c>
      <c r="K27" s="22"/>
      <c r="L27" s="22"/>
      <c r="M27" s="22"/>
      <c r="N27" s="22"/>
      <c r="O27" s="22"/>
      <c r="P27" s="22"/>
      <c r="Q27" s="75"/>
      <c r="R27" s="211"/>
      <c r="S27" s="211"/>
      <c r="T27" s="211"/>
      <c r="U27" s="211"/>
      <c r="V27" s="211"/>
      <c r="W27" s="211"/>
      <c r="X27" s="211"/>
      <c r="Y27" s="211"/>
      <c r="Z27" s="211"/>
      <c r="AA27" s="211"/>
      <c r="AB27" s="211"/>
      <c r="AC27" s="211"/>
      <c r="AD27" s="211"/>
      <c r="AE27" s="211"/>
      <c r="AF27" s="211"/>
      <c r="AG27" s="211"/>
      <c r="AH27" s="211"/>
      <c r="AI27" s="211"/>
      <c r="AJ27" s="211"/>
      <c r="AK27" s="211"/>
      <c r="AL27" s="211"/>
      <c r="AM27" s="211"/>
      <c r="AN27" s="211"/>
      <c r="AO27" s="211"/>
      <c r="AP27" s="211"/>
      <c r="AQ27" s="211"/>
      <c r="AR27" s="211"/>
      <c r="AS27" s="211"/>
      <c r="AT27" s="211"/>
      <c r="AU27" s="211"/>
      <c r="AV27" s="211"/>
      <c r="AW27" s="211"/>
      <c r="AX27" s="211"/>
      <c r="AY27" s="211"/>
      <c r="AZ27" s="211"/>
      <c r="BA27" s="211"/>
    </row>
    <row r="28" spans="1:53" s="212" customFormat="1" ht="127.5" x14ac:dyDescent="0.2">
      <c r="A28" s="5" t="s">
        <v>192</v>
      </c>
      <c r="B28" s="18" t="s">
        <v>533</v>
      </c>
      <c r="C28" s="7">
        <v>3</v>
      </c>
      <c r="D28" s="7" t="s">
        <v>647</v>
      </c>
      <c r="E28" s="5" t="s">
        <v>290</v>
      </c>
      <c r="F28" s="218" t="s">
        <v>962</v>
      </c>
      <c r="G28" s="15" t="s">
        <v>862</v>
      </c>
      <c r="H28" s="12"/>
      <c r="I28" s="8"/>
      <c r="J28" s="71" t="str">
        <f>IFERROR(SUMPRODUCT(ISNUMBER(B_CKDATE)*ISNUMBER(B_RDATA),B_RDATA)/SUMPRODUCT(ISNUMBER(B_CKDATE)*ISNUMBER(B_RDATA)),"")</f>
        <v/>
      </c>
      <c r="K28" s="22"/>
      <c r="L28" s="22"/>
      <c r="M28" s="22"/>
      <c r="N28" s="22"/>
      <c r="O28" s="22"/>
      <c r="P28" s="22"/>
      <c r="Q28" s="75"/>
      <c r="R28" s="211"/>
      <c r="S28" s="211"/>
      <c r="T28" s="211"/>
      <c r="U28" s="211"/>
      <c r="V28" s="211"/>
      <c r="W28" s="211"/>
      <c r="X28" s="211"/>
      <c r="Y28" s="211"/>
      <c r="Z28" s="211"/>
      <c r="AA28" s="211"/>
      <c r="AB28" s="211"/>
      <c r="AC28" s="211"/>
      <c r="AD28" s="211"/>
      <c r="AE28" s="211"/>
      <c r="AF28" s="211"/>
      <c r="AG28" s="211"/>
      <c r="AH28" s="211"/>
      <c r="AI28" s="211"/>
      <c r="AJ28" s="211"/>
      <c r="AK28" s="211"/>
      <c r="AL28" s="211"/>
      <c r="AM28" s="211"/>
      <c r="AN28" s="211"/>
      <c r="AO28" s="211"/>
      <c r="AP28" s="211"/>
      <c r="AQ28" s="211"/>
      <c r="AR28" s="211"/>
      <c r="AS28" s="211"/>
      <c r="AT28" s="211"/>
      <c r="AU28" s="211"/>
      <c r="AV28" s="211"/>
      <c r="AW28" s="211"/>
      <c r="AX28" s="211"/>
      <c r="AY28" s="211"/>
      <c r="AZ28" s="211"/>
      <c r="BA28" s="211"/>
    </row>
    <row r="29" spans="1:53" s="212" customFormat="1" ht="81" customHeight="1" x14ac:dyDescent="0.2">
      <c r="A29" s="15" t="s">
        <v>901</v>
      </c>
      <c r="B29" s="18" t="s">
        <v>533</v>
      </c>
      <c r="C29" s="7">
        <v>3</v>
      </c>
      <c r="D29" s="7" t="s">
        <v>647</v>
      </c>
      <c r="E29" s="5" t="s">
        <v>290</v>
      </c>
      <c r="F29" s="218" t="s">
        <v>963</v>
      </c>
      <c r="G29" s="5"/>
      <c r="H29" s="12"/>
      <c r="I29" s="8"/>
      <c r="J29" s="71" t="str">
        <f>IFERROR(SUMPRODUCT(ISNUMBER(B_CKDATE)*ISNUMBER(B_RDATA),B_RDATA)/SUMPRODUCT(ISNUMBER(B_CKDATE)*ISNUMBER(B_RDATA)),"")</f>
        <v/>
      </c>
      <c r="K29" s="22"/>
      <c r="L29" s="22"/>
      <c r="M29" s="22"/>
      <c r="N29" s="22"/>
      <c r="O29" s="22"/>
      <c r="P29" s="22"/>
      <c r="Q29" s="75"/>
      <c r="R29" s="211"/>
      <c r="S29" s="211"/>
      <c r="T29" s="211"/>
      <c r="U29" s="211"/>
      <c r="V29" s="211"/>
      <c r="W29" s="211"/>
      <c r="X29" s="211"/>
      <c r="Y29" s="211"/>
      <c r="Z29" s="211"/>
      <c r="AA29" s="211"/>
      <c r="AB29" s="211"/>
      <c r="AC29" s="211"/>
      <c r="AD29" s="211"/>
      <c r="AE29" s="211"/>
      <c r="AF29" s="211"/>
      <c r="AG29" s="211"/>
      <c r="AH29" s="211"/>
      <c r="AI29" s="211"/>
      <c r="AJ29" s="211"/>
      <c r="AK29" s="211"/>
      <c r="AL29" s="211"/>
      <c r="AM29" s="211"/>
      <c r="AN29" s="211"/>
      <c r="AO29" s="211"/>
      <c r="AP29" s="211"/>
      <c r="AQ29" s="211"/>
      <c r="AR29" s="211"/>
      <c r="AS29" s="211"/>
      <c r="AT29" s="211"/>
      <c r="AU29" s="211"/>
      <c r="AV29" s="211"/>
      <c r="AW29" s="211"/>
      <c r="AX29" s="211"/>
      <c r="AY29" s="211"/>
      <c r="AZ29" s="211"/>
      <c r="BA29" s="211"/>
    </row>
    <row r="30" spans="1:53" s="212" customFormat="1" ht="25.5" x14ac:dyDescent="0.2">
      <c r="A30" s="5" t="s">
        <v>193</v>
      </c>
      <c r="B30" s="18" t="s">
        <v>533</v>
      </c>
      <c r="C30" s="7">
        <v>2</v>
      </c>
      <c r="D30" s="7" t="s">
        <v>285</v>
      </c>
      <c r="E30" s="5" t="s">
        <v>290</v>
      </c>
      <c r="F30" s="5" t="s">
        <v>366</v>
      </c>
      <c r="G30" s="5" t="s">
        <v>369</v>
      </c>
      <c r="H30" s="12"/>
      <c r="I30" s="8"/>
      <c r="J30" s="71" t="str">
        <f>IFERROR(SUMPRODUCT(ISNUMBER(B_CKDATE)*ISNUMBER(B_RDATA),B_RDATA)/SUMPRODUCT(ISNUMBER(B_CKDATE)*ISNUMBER(B_RDATA)),"")</f>
        <v/>
      </c>
      <c r="K30" s="22"/>
      <c r="L30" s="22"/>
      <c r="M30" s="22"/>
      <c r="N30" s="22"/>
      <c r="O30" s="22"/>
      <c r="P30" s="22"/>
      <c r="Q30" s="75"/>
      <c r="R30" s="211"/>
      <c r="S30" s="211"/>
      <c r="T30" s="211"/>
      <c r="U30" s="211"/>
      <c r="V30" s="211"/>
      <c r="W30" s="211"/>
      <c r="X30" s="211"/>
      <c r="Y30" s="211"/>
      <c r="Z30" s="211"/>
      <c r="AA30" s="211"/>
      <c r="AB30" s="211"/>
      <c r="AC30" s="211"/>
      <c r="AD30" s="211"/>
      <c r="AE30" s="211"/>
      <c r="AF30" s="211"/>
      <c r="AG30" s="211"/>
      <c r="AH30" s="211"/>
      <c r="AI30" s="211"/>
      <c r="AJ30" s="211"/>
      <c r="AK30" s="211"/>
      <c r="AL30" s="211"/>
      <c r="AM30" s="211"/>
      <c r="AN30" s="211"/>
      <c r="AO30" s="211"/>
      <c r="AP30" s="211"/>
      <c r="AQ30" s="211"/>
      <c r="AR30" s="211"/>
      <c r="AS30" s="211"/>
      <c r="AT30" s="211"/>
      <c r="AU30" s="211"/>
      <c r="AV30" s="211"/>
      <c r="AW30" s="211"/>
      <c r="AX30" s="211"/>
      <c r="AY30" s="211"/>
      <c r="AZ30" s="211"/>
      <c r="BA30" s="211"/>
    </row>
    <row r="31" spans="1:53" s="211" customFormat="1" ht="38.25" x14ac:dyDescent="0.2">
      <c r="A31" s="6" t="s">
        <v>902</v>
      </c>
      <c r="B31" s="7" t="s">
        <v>533</v>
      </c>
      <c r="C31" s="7">
        <v>2</v>
      </c>
      <c r="D31" s="7" t="s">
        <v>285</v>
      </c>
      <c r="E31" s="7" t="s">
        <v>290</v>
      </c>
      <c r="F31" s="7" t="s">
        <v>715</v>
      </c>
      <c r="G31" s="7" t="s">
        <v>716</v>
      </c>
      <c r="H31" s="7"/>
      <c r="I31" s="8"/>
      <c r="J31" s="71" t="str">
        <f>IFERROR(SUMPRODUCT(ISNUMBER(B_CKDATE)*ISNUMBER(B_RDATA),B_RDATA)/SUMPRODUCT(ISNUMBER(B_CKDATE)*ISNUMBER(B_RDATA)),"")</f>
        <v/>
      </c>
      <c r="K31" s="85"/>
      <c r="L31" s="85"/>
      <c r="M31" s="85"/>
      <c r="N31" s="85"/>
      <c r="O31" s="85"/>
      <c r="P31" s="85"/>
      <c r="Q31" s="75"/>
    </row>
    <row r="32" spans="1:53" s="212" customFormat="1" ht="89.25" x14ac:dyDescent="0.2">
      <c r="A32" s="5" t="s">
        <v>194</v>
      </c>
      <c r="B32" s="18" t="s">
        <v>534</v>
      </c>
      <c r="C32" s="7">
        <v>2</v>
      </c>
      <c r="D32" s="7" t="s">
        <v>285</v>
      </c>
      <c r="E32" s="5" t="s">
        <v>290</v>
      </c>
      <c r="F32" s="5" t="s">
        <v>861</v>
      </c>
      <c r="G32" s="5" t="s">
        <v>376</v>
      </c>
      <c r="H32" s="12"/>
      <c r="I32" s="8"/>
      <c r="J32" s="71" t="str">
        <f>IFERROR(SUMPRODUCT(ISNUMBER(B_CKDATE)*ISNUMBER(B_RDATA),B_RDATA)/SUMPRODUCT(ISNUMBER(B_CKDATE)*ISNUMBER(B_RDATA)),"")</f>
        <v/>
      </c>
      <c r="K32" s="22"/>
      <c r="L32" s="22"/>
      <c r="M32" s="22"/>
      <c r="N32" s="22"/>
      <c r="O32" s="22"/>
      <c r="P32" s="22"/>
      <c r="Q32" s="75"/>
      <c r="R32" s="211"/>
      <c r="S32" s="211"/>
      <c r="T32" s="211"/>
      <c r="U32" s="211"/>
      <c r="V32" s="211"/>
      <c r="W32" s="211"/>
      <c r="X32" s="211"/>
      <c r="Y32" s="211"/>
      <c r="Z32" s="211"/>
      <c r="AA32" s="211"/>
      <c r="AB32" s="211"/>
      <c r="AC32" s="211"/>
      <c r="AD32" s="211"/>
      <c r="AE32" s="211"/>
      <c r="AF32" s="211"/>
      <c r="AG32" s="211"/>
      <c r="AH32" s="211"/>
      <c r="AI32" s="211"/>
      <c r="AJ32" s="211"/>
      <c r="AK32" s="211"/>
      <c r="AL32" s="211"/>
      <c r="AM32" s="211"/>
      <c r="AN32" s="211"/>
      <c r="AO32" s="211"/>
      <c r="AP32" s="211"/>
      <c r="AQ32" s="211"/>
      <c r="AR32" s="211"/>
      <c r="AS32" s="211"/>
      <c r="AT32" s="211"/>
      <c r="AU32" s="211"/>
      <c r="AV32" s="211"/>
      <c r="AW32" s="211"/>
      <c r="AX32" s="211"/>
      <c r="AY32" s="211"/>
      <c r="AZ32" s="211"/>
      <c r="BA32" s="211"/>
    </row>
    <row r="33" spans="1:53" s="212" customFormat="1" ht="38.25" x14ac:dyDescent="0.2">
      <c r="A33" s="5" t="s">
        <v>195</v>
      </c>
      <c r="B33" s="18" t="s">
        <v>533</v>
      </c>
      <c r="C33" s="7">
        <v>2</v>
      </c>
      <c r="D33" s="7" t="s">
        <v>285</v>
      </c>
      <c r="E33" s="5" t="s">
        <v>290</v>
      </c>
      <c r="F33" s="5" t="s">
        <v>664</v>
      </c>
      <c r="G33" s="5" t="s">
        <v>377</v>
      </c>
      <c r="H33" s="12"/>
      <c r="I33" s="8"/>
      <c r="J33" s="71" t="str">
        <f>IFERROR(SUMPRODUCT(ISNUMBER(B_CKDATE)*ISNUMBER(B_RDATA),B_RDATA)/SUMPRODUCT(ISNUMBER(B_CKDATE)*ISNUMBER(B_RDATA)),"")</f>
        <v/>
      </c>
      <c r="K33" s="22"/>
      <c r="L33" s="22"/>
      <c r="M33" s="22"/>
      <c r="N33" s="22"/>
      <c r="O33" s="22"/>
      <c r="P33" s="22"/>
      <c r="Q33" s="75"/>
      <c r="R33" s="211"/>
      <c r="S33" s="211"/>
      <c r="T33" s="211"/>
      <c r="U33" s="211"/>
      <c r="V33" s="211"/>
      <c r="W33" s="211"/>
      <c r="X33" s="211"/>
      <c r="Y33" s="211"/>
      <c r="Z33" s="211"/>
      <c r="AA33" s="211"/>
      <c r="AB33" s="211"/>
      <c r="AC33" s="211"/>
      <c r="AD33" s="211"/>
      <c r="AE33" s="211"/>
      <c r="AF33" s="211"/>
      <c r="AG33" s="211"/>
      <c r="AH33" s="211"/>
      <c r="AI33" s="211"/>
      <c r="AJ33" s="211"/>
      <c r="AK33" s="211"/>
      <c r="AL33" s="211"/>
      <c r="AM33" s="211"/>
      <c r="AN33" s="211"/>
      <c r="AO33" s="211"/>
      <c r="AP33" s="211"/>
      <c r="AQ33" s="211"/>
      <c r="AR33" s="211"/>
      <c r="AS33" s="211"/>
      <c r="AT33" s="211"/>
      <c r="AU33" s="211"/>
      <c r="AV33" s="211"/>
      <c r="AW33" s="211"/>
      <c r="AX33" s="211"/>
      <c r="AY33" s="211"/>
      <c r="AZ33" s="211"/>
      <c r="BA33" s="211"/>
    </row>
    <row r="34" spans="1:53" s="212" customFormat="1" ht="51" x14ac:dyDescent="0.2">
      <c r="A34" s="5" t="s">
        <v>196</v>
      </c>
      <c r="B34" s="18" t="s">
        <v>533</v>
      </c>
      <c r="C34" s="7">
        <v>2</v>
      </c>
      <c r="D34" s="7" t="s">
        <v>285</v>
      </c>
      <c r="E34" s="5" t="s">
        <v>290</v>
      </c>
      <c r="F34" s="18" t="s">
        <v>665</v>
      </c>
      <c r="G34" s="5" t="s">
        <v>268</v>
      </c>
      <c r="H34" s="12"/>
      <c r="I34" s="8"/>
      <c r="J34" s="71" t="str">
        <f>IFERROR(SUMPRODUCT(ISNUMBER(B_CKDATE)*ISNUMBER(B_RDATA),B_RDATA)/SUMPRODUCT(ISNUMBER(B_CKDATE)*ISNUMBER(B_RDATA)),"")</f>
        <v/>
      </c>
      <c r="K34" s="22"/>
      <c r="L34" s="22"/>
      <c r="M34" s="22"/>
      <c r="N34" s="22"/>
      <c r="O34" s="22"/>
      <c r="P34" s="22"/>
      <c r="Q34" s="75"/>
      <c r="R34" s="211"/>
      <c r="S34" s="211"/>
      <c r="T34" s="211"/>
      <c r="U34" s="211"/>
      <c r="V34" s="211"/>
      <c r="W34" s="211"/>
      <c r="X34" s="211"/>
      <c r="Y34" s="211"/>
      <c r="Z34" s="211"/>
      <c r="AA34" s="211"/>
      <c r="AB34" s="211"/>
      <c r="AC34" s="211"/>
      <c r="AD34" s="211"/>
      <c r="AE34" s="211"/>
      <c r="AF34" s="211"/>
      <c r="AG34" s="211"/>
      <c r="AH34" s="211"/>
      <c r="AI34" s="211"/>
      <c r="AJ34" s="211"/>
      <c r="AK34" s="211"/>
      <c r="AL34" s="211"/>
      <c r="AM34" s="211"/>
      <c r="AN34" s="211"/>
      <c r="AO34" s="211"/>
      <c r="AP34" s="211"/>
      <c r="AQ34" s="211"/>
      <c r="AR34" s="211"/>
      <c r="AS34" s="211"/>
      <c r="AT34" s="211"/>
      <c r="AU34" s="211"/>
      <c r="AV34" s="211"/>
      <c r="AW34" s="211"/>
      <c r="AX34" s="211"/>
      <c r="AY34" s="211"/>
      <c r="AZ34" s="211"/>
      <c r="BA34" s="211"/>
    </row>
    <row r="35" spans="1:53" s="212" customFormat="1" ht="51" x14ac:dyDescent="0.2">
      <c r="A35" s="5" t="s">
        <v>197</v>
      </c>
      <c r="B35" s="18" t="s">
        <v>533</v>
      </c>
      <c r="C35" s="7">
        <v>2</v>
      </c>
      <c r="D35" s="7" t="s">
        <v>285</v>
      </c>
      <c r="E35" s="5" t="s">
        <v>290</v>
      </c>
      <c r="F35" s="5" t="s">
        <v>367</v>
      </c>
      <c r="G35" s="5" t="s">
        <v>269</v>
      </c>
      <c r="H35" s="12"/>
      <c r="I35" s="8"/>
      <c r="J35" s="71" t="str">
        <f>IFERROR(SUMPRODUCT(ISNUMBER(B_CKDATE)*ISNUMBER(B_RDATA),B_RDATA)/SUMPRODUCT(ISNUMBER(B_CKDATE)*ISNUMBER(B_RDATA)),"")</f>
        <v/>
      </c>
      <c r="K35" s="22"/>
      <c r="L35" s="22"/>
      <c r="M35" s="22"/>
      <c r="N35" s="22"/>
      <c r="O35" s="22"/>
      <c r="P35" s="22"/>
      <c r="Q35" s="75"/>
      <c r="R35" s="211"/>
      <c r="S35" s="211"/>
      <c r="T35" s="211"/>
      <c r="U35" s="211"/>
      <c r="V35" s="211"/>
      <c r="W35" s="211"/>
      <c r="X35" s="211"/>
      <c r="Y35" s="211"/>
      <c r="Z35" s="211"/>
      <c r="AA35" s="211"/>
      <c r="AB35" s="211"/>
      <c r="AC35" s="211"/>
      <c r="AD35" s="211"/>
      <c r="AE35" s="211"/>
      <c r="AF35" s="211"/>
      <c r="AG35" s="211"/>
      <c r="AH35" s="211"/>
      <c r="AI35" s="211"/>
      <c r="AJ35" s="211"/>
      <c r="AK35" s="211"/>
      <c r="AL35" s="211"/>
      <c r="AM35" s="211"/>
      <c r="AN35" s="211"/>
      <c r="AO35" s="211"/>
      <c r="AP35" s="211"/>
      <c r="AQ35" s="211"/>
      <c r="AR35" s="211"/>
      <c r="AS35" s="211"/>
      <c r="AT35" s="211"/>
      <c r="AU35" s="211"/>
      <c r="AV35" s="211"/>
      <c r="AW35" s="211"/>
      <c r="AX35" s="211"/>
      <c r="AY35" s="211"/>
      <c r="AZ35" s="211"/>
      <c r="BA35" s="211"/>
    </row>
    <row r="36" spans="1:53" s="212" customFormat="1" x14ac:dyDescent="0.2">
      <c r="A36" s="5" t="s">
        <v>198</v>
      </c>
      <c r="B36" s="18" t="s">
        <v>533</v>
      </c>
      <c r="C36" s="7">
        <v>2</v>
      </c>
      <c r="D36" s="7" t="s">
        <v>285</v>
      </c>
      <c r="E36" s="5" t="s">
        <v>290</v>
      </c>
      <c r="F36" s="5" t="s">
        <v>51</v>
      </c>
      <c r="G36" s="5" t="s">
        <v>270</v>
      </c>
      <c r="H36" s="12"/>
      <c r="I36" s="8"/>
      <c r="J36" s="71" t="str">
        <f>IFERROR(SUMPRODUCT(ISNUMBER(B_CKDATE)*ISNUMBER(B_RDATA),B_RDATA)/SUMPRODUCT(ISNUMBER(B_CKDATE)*ISNUMBER(B_RDATA)),"")</f>
        <v/>
      </c>
      <c r="K36" s="22"/>
      <c r="L36" s="22"/>
      <c r="M36" s="22"/>
      <c r="N36" s="22"/>
      <c r="O36" s="22"/>
      <c r="P36" s="22"/>
      <c r="Q36" s="75"/>
      <c r="R36" s="211"/>
      <c r="S36" s="211"/>
      <c r="T36" s="211"/>
      <c r="U36" s="211"/>
      <c r="V36" s="211"/>
      <c r="W36" s="211"/>
      <c r="X36" s="211"/>
      <c r="Y36" s="211"/>
      <c r="Z36" s="211"/>
      <c r="AA36" s="211"/>
      <c r="AB36" s="211"/>
      <c r="AC36" s="211"/>
      <c r="AD36" s="211"/>
      <c r="AE36" s="211"/>
      <c r="AF36" s="211"/>
      <c r="AG36" s="211"/>
      <c r="AH36" s="211"/>
      <c r="AI36" s="211"/>
      <c r="AJ36" s="211"/>
      <c r="AK36" s="211"/>
      <c r="AL36" s="211"/>
      <c r="AM36" s="211"/>
      <c r="AN36" s="211"/>
      <c r="AO36" s="211"/>
      <c r="AP36" s="211"/>
      <c r="AQ36" s="211"/>
      <c r="AR36" s="211"/>
      <c r="AS36" s="211"/>
      <c r="AT36" s="211"/>
      <c r="AU36" s="211"/>
      <c r="AV36" s="211"/>
      <c r="AW36" s="211"/>
      <c r="AX36" s="211"/>
      <c r="AY36" s="211"/>
      <c r="AZ36" s="211"/>
      <c r="BA36" s="211"/>
    </row>
    <row r="37" spans="1:53" s="212" customFormat="1" ht="63.75" x14ac:dyDescent="0.2">
      <c r="A37" s="5" t="s">
        <v>199</v>
      </c>
      <c r="B37" s="18" t="s">
        <v>533</v>
      </c>
      <c r="C37" s="7">
        <v>2</v>
      </c>
      <c r="D37" s="7" t="s">
        <v>285</v>
      </c>
      <c r="E37" s="5" t="s">
        <v>290</v>
      </c>
      <c r="F37" s="5" t="s">
        <v>666</v>
      </c>
      <c r="G37" s="5" t="s">
        <v>17</v>
      </c>
      <c r="H37" s="12"/>
      <c r="I37" s="8"/>
      <c r="J37" s="71" t="str">
        <f>IFERROR(SUMPRODUCT(ISNUMBER(B_CKDATE)*ISNUMBER(B_RDATA),B_RDATA)/SUMPRODUCT(ISNUMBER(B_CKDATE)*ISNUMBER(B_RDATA)),"")</f>
        <v/>
      </c>
      <c r="K37" s="22"/>
      <c r="L37" s="22"/>
      <c r="M37" s="22"/>
      <c r="N37" s="22"/>
      <c r="O37" s="22"/>
      <c r="P37" s="22"/>
      <c r="Q37" s="75"/>
      <c r="R37" s="211"/>
      <c r="S37" s="211"/>
      <c r="T37" s="211"/>
      <c r="U37" s="211"/>
      <c r="V37" s="211"/>
      <c r="W37" s="211"/>
      <c r="X37" s="211"/>
      <c r="Y37" s="211"/>
      <c r="Z37" s="211"/>
      <c r="AA37" s="211"/>
      <c r="AB37" s="211"/>
      <c r="AC37" s="211"/>
      <c r="AD37" s="211"/>
      <c r="AE37" s="211"/>
      <c r="AF37" s="211"/>
      <c r="AG37" s="211"/>
      <c r="AH37" s="211"/>
      <c r="AI37" s="211"/>
      <c r="AJ37" s="211"/>
      <c r="AK37" s="211"/>
      <c r="AL37" s="211"/>
      <c r="AM37" s="211"/>
      <c r="AN37" s="211"/>
      <c r="AO37" s="211"/>
      <c r="AP37" s="211"/>
      <c r="AQ37" s="211"/>
      <c r="AR37" s="211"/>
      <c r="AS37" s="211"/>
      <c r="AT37" s="211"/>
      <c r="AU37" s="211"/>
      <c r="AV37" s="211"/>
      <c r="AW37" s="211"/>
      <c r="AX37" s="211"/>
      <c r="AY37" s="211"/>
      <c r="AZ37" s="211"/>
      <c r="BA37" s="211"/>
    </row>
    <row r="38" spans="1:53" s="213" customFormat="1" ht="76.5" x14ac:dyDescent="0.2">
      <c r="A38" s="5" t="s">
        <v>200</v>
      </c>
      <c r="B38" s="18" t="s">
        <v>533</v>
      </c>
      <c r="C38" s="7">
        <v>2</v>
      </c>
      <c r="D38" s="7" t="s">
        <v>285</v>
      </c>
      <c r="E38" s="5" t="s">
        <v>290</v>
      </c>
      <c r="F38" s="5" t="s">
        <v>588</v>
      </c>
      <c r="G38" s="5" t="s">
        <v>717</v>
      </c>
      <c r="H38" s="12"/>
      <c r="I38" s="72"/>
      <c r="J38" s="71" t="str">
        <f>IFERROR(SUMPRODUCT(ISNUMBER(B_CKDATE)*ISNUMBER(B_RDATA),B_RDATA)/SUMPRODUCT(ISNUMBER(B_CKDATE)*ISNUMBER(B_RDATA)),"")</f>
        <v/>
      </c>
      <c r="K38" s="22"/>
      <c r="L38" s="22"/>
      <c r="M38" s="22"/>
      <c r="N38" s="22"/>
      <c r="O38" s="22"/>
      <c r="P38" s="22"/>
      <c r="Q38" s="75"/>
      <c r="R38" s="211"/>
      <c r="S38" s="211"/>
      <c r="T38" s="211"/>
      <c r="U38" s="211"/>
      <c r="V38" s="211"/>
      <c r="W38" s="211"/>
      <c r="X38" s="211"/>
      <c r="Y38" s="211"/>
      <c r="Z38" s="211"/>
      <c r="AA38" s="211"/>
      <c r="AB38" s="211"/>
      <c r="AC38" s="211"/>
      <c r="AD38" s="211"/>
      <c r="AE38" s="211"/>
      <c r="AF38" s="211"/>
      <c r="AG38" s="211"/>
      <c r="AH38" s="211"/>
      <c r="AI38" s="211"/>
      <c r="AJ38" s="211"/>
      <c r="AK38" s="211"/>
      <c r="AL38" s="211"/>
      <c r="AM38" s="211"/>
      <c r="AN38" s="211"/>
      <c r="AO38" s="211"/>
      <c r="AP38" s="211"/>
      <c r="AQ38" s="211"/>
      <c r="AR38" s="211"/>
      <c r="AS38" s="211"/>
      <c r="AT38" s="211"/>
      <c r="AU38" s="211"/>
      <c r="AV38" s="211"/>
      <c r="AW38" s="211"/>
      <c r="AX38" s="211"/>
      <c r="AY38" s="211"/>
      <c r="AZ38" s="211"/>
      <c r="BA38" s="211"/>
    </row>
    <row r="39" spans="1:53" s="212" customFormat="1" ht="38.25" hidden="1" x14ac:dyDescent="0.2">
      <c r="A39" s="18" t="s">
        <v>558</v>
      </c>
      <c r="B39" s="18" t="s">
        <v>538</v>
      </c>
      <c r="C39" s="7">
        <v>2</v>
      </c>
      <c r="D39" s="7" t="s">
        <v>284</v>
      </c>
      <c r="E39" s="18" t="s">
        <v>290</v>
      </c>
      <c r="F39" s="7" t="s">
        <v>667</v>
      </c>
      <c r="G39" s="18"/>
      <c r="H39" s="18"/>
      <c r="I39" s="8"/>
      <c r="J39" s="71" t="str">
        <f>IFERROR(SUMPRODUCT(ISNUMBER(B_CKDATE)*ISNUMBER(B_RDATA),B_RDATA)/SUMPRODUCT(ISNUMBER(B_CKDATE)*ISNUMBER(B_RDATA)),"")</f>
        <v/>
      </c>
      <c r="K39" s="22"/>
      <c r="L39" s="22"/>
      <c r="M39" s="22"/>
      <c r="N39" s="22"/>
      <c r="O39" s="22"/>
      <c r="P39" s="22"/>
      <c r="Q39" s="75"/>
      <c r="R39" s="211"/>
      <c r="S39" s="211"/>
      <c r="T39" s="211"/>
      <c r="U39" s="211"/>
      <c r="V39" s="211"/>
      <c r="W39" s="211"/>
      <c r="X39" s="211"/>
      <c r="Y39" s="211"/>
      <c r="Z39" s="211"/>
      <c r="AA39" s="211"/>
      <c r="AB39" s="211"/>
      <c r="AC39" s="211"/>
      <c r="AD39" s="211"/>
      <c r="AE39" s="211"/>
      <c r="AF39" s="211"/>
      <c r="AG39" s="211"/>
      <c r="AH39" s="211"/>
      <c r="AI39" s="211"/>
      <c r="AJ39" s="211"/>
      <c r="AK39" s="211"/>
      <c r="AL39" s="211"/>
      <c r="AM39" s="211"/>
      <c r="AN39" s="211"/>
      <c r="AO39" s="211"/>
      <c r="AP39" s="211"/>
      <c r="AQ39" s="211"/>
      <c r="AR39" s="211"/>
      <c r="AS39" s="211"/>
      <c r="AT39" s="211"/>
      <c r="AU39" s="211"/>
      <c r="AV39" s="211"/>
      <c r="AW39" s="211"/>
      <c r="AX39" s="211"/>
      <c r="AY39" s="211"/>
      <c r="AZ39" s="211"/>
      <c r="BA39" s="211"/>
    </row>
    <row r="40" spans="1:53" s="212" customFormat="1" ht="38.25" x14ac:dyDescent="0.2">
      <c r="A40" s="5" t="s">
        <v>201</v>
      </c>
      <c r="B40" s="18" t="s">
        <v>533</v>
      </c>
      <c r="C40" s="7">
        <v>2</v>
      </c>
      <c r="D40" s="7" t="s">
        <v>285</v>
      </c>
      <c r="E40" s="5" t="s">
        <v>290</v>
      </c>
      <c r="F40" s="5" t="s">
        <v>589</v>
      </c>
      <c r="G40" s="5" t="s">
        <v>202</v>
      </c>
      <c r="H40" s="12"/>
      <c r="I40" s="8"/>
      <c r="J40" s="71" t="str">
        <f>IFERROR(SUMPRODUCT(ISNUMBER(B_CKDATE)*ISNUMBER(B_RDATA),B_RDATA)/SUMPRODUCT(ISNUMBER(B_CKDATE)*ISNUMBER(B_RDATA)),"")</f>
        <v/>
      </c>
      <c r="K40" s="22"/>
      <c r="L40" s="22"/>
      <c r="M40" s="22"/>
      <c r="N40" s="22"/>
      <c r="O40" s="22"/>
      <c r="P40" s="22"/>
      <c r="Q40" s="75"/>
      <c r="R40" s="211"/>
      <c r="S40" s="211"/>
      <c r="T40" s="211"/>
      <c r="U40" s="211"/>
      <c r="V40" s="211"/>
      <c r="W40" s="211"/>
      <c r="X40" s="211"/>
      <c r="Y40" s="211"/>
      <c r="Z40" s="211"/>
      <c r="AA40" s="211"/>
      <c r="AB40" s="211"/>
      <c r="AC40" s="211"/>
      <c r="AD40" s="211"/>
      <c r="AE40" s="211"/>
      <c r="AF40" s="211"/>
      <c r="AG40" s="211"/>
      <c r="AH40" s="211"/>
      <c r="AI40" s="211"/>
      <c r="AJ40" s="211"/>
      <c r="AK40" s="211"/>
      <c r="AL40" s="211"/>
      <c r="AM40" s="211"/>
      <c r="AN40" s="211"/>
      <c r="AO40" s="211"/>
      <c r="AP40" s="211"/>
      <c r="AQ40" s="211"/>
      <c r="AR40" s="211"/>
      <c r="AS40" s="211"/>
      <c r="AT40" s="211"/>
      <c r="AU40" s="211"/>
      <c r="AV40" s="211"/>
      <c r="AW40" s="211"/>
      <c r="AX40" s="211"/>
      <c r="AY40" s="211"/>
      <c r="AZ40" s="211"/>
      <c r="BA40" s="211"/>
    </row>
    <row r="41" spans="1:53" s="69" customFormat="1" x14ac:dyDescent="0.2">
      <c r="A41" s="26" t="s">
        <v>949</v>
      </c>
      <c r="B41" s="27"/>
      <c r="C41" s="27"/>
      <c r="D41" s="27"/>
      <c r="E41" s="201"/>
      <c r="F41" s="201"/>
      <c r="G41" s="201"/>
      <c r="H41" s="27"/>
      <c r="I41" s="27"/>
      <c r="J41" s="27"/>
      <c r="K41" s="27"/>
      <c r="L41" s="27"/>
      <c r="M41" s="27"/>
      <c r="N41" s="27"/>
      <c r="O41" s="27"/>
      <c r="P41" s="27"/>
      <c r="Q41" s="28"/>
      <c r="R41" s="207"/>
      <c r="S41" s="207"/>
      <c r="T41" s="207"/>
      <c r="U41" s="207"/>
      <c r="V41" s="207"/>
      <c r="W41" s="207"/>
      <c r="X41" s="207"/>
      <c r="Y41" s="207"/>
      <c r="Z41" s="207"/>
      <c r="AA41" s="207"/>
      <c r="AB41" s="207"/>
      <c r="AC41" s="207"/>
      <c r="AD41" s="207"/>
      <c r="AE41" s="207"/>
      <c r="AF41" s="207"/>
      <c r="AG41" s="207"/>
      <c r="AH41" s="207"/>
      <c r="AI41" s="207"/>
      <c r="AJ41" s="207"/>
      <c r="AK41" s="207"/>
      <c r="AL41" s="207"/>
      <c r="AM41" s="207"/>
      <c r="AN41" s="207"/>
      <c r="AO41" s="207"/>
      <c r="AP41" s="207"/>
      <c r="AQ41" s="207"/>
      <c r="AR41" s="207"/>
      <c r="AS41" s="207"/>
      <c r="AT41" s="207"/>
      <c r="AU41" s="207"/>
      <c r="AV41" s="207"/>
      <c r="AW41" s="207"/>
      <c r="AX41" s="207"/>
      <c r="AY41" s="207"/>
      <c r="AZ41" s="207"/>
      <c r="BA41" s="207"/>
    </row>
  </sheetData>
  <sheetProtection formatCells="0" formatColumns="0" formatRows="0" insertColumns="0" insertRows="0" insertHyperlinks="0" deleteColumns="0" deleteRows="0" sort="0" autoFilter="0" pivotTables="0"/>
  <dataConsolidate/>
  <mergeCells count="3">
    <mergeCell ref="I8:J8"/>
    <mergeCell ref="I10:J10"/>
    <mergeCell ref="I11:J11"/>
  </mergeCells>
  <phoneticPr fontId="0" type="noConversion"/>
  <conditionalFormatting sqref="F15:F27 F29 K13:P40">
    <cfRule type="cellIs" dxfId="86" priority="52" stopIfTrue="1" operator="equal">
      <formula>100</formula>
    </cfRule>
    <cfRule type="expression" dxfId="85" priority="53" stopIfTrue="1">
      <formula>AND(F13&gt;=50,F13&lt;&gt;"N/A",NOT(ISERROR(VALUE(F13))))</formula>
    </cfRule>
    <cfRule type="expression" dxfId="84" priority="54" stopIfTrue="1">
      <formula>NOT(OR(ISBLANK(F13),F13="N/A",ISERROR(VALUE(F13))))</formula>
    </cfRule>
  </conditionalFormatting>
  <conditionalFormatting sqref="J13:J40">
    <cfRule type="expression" dxfId="83" priority="58" stopIfTrue="1">
      <formula>AND(J13&gt;=90,NOT(ISBLANK(J13)),NOT(ISERROR(VALUE(J13))))</formula>
    </cfRule>
    <cfRule type="expression" dxfId="82" priority="59" stopIfTrue="1">
      <formula>AND(J13&lt;90,J13&gt;=50,J13&lt;&gt;"N/A",NOT(ISERROR(VALUE(J13))))</formula>
    </cfRule>
    <cfRule type="expression" dxfId="81" priority="60" stopIfTrue="1">
      <formula>NOT(OR(ISBLANK(J13),J13="N/A",ISERROR(VALUE(J13))))</formula>
    </cfRule>
  </conditionalFormatting>
  <conditionalFormatting sqref="J14">
    <cfRule type="cellIs" dxfId="80" priority="1" stopIfTrue="1" operator="equal">
      <formula>100</formula>
    </cfRule>
    <cfRule type="expression" dxfId="79" priority="2" stopIfTrue="1">
      <formula>AND(J14&gt;=50,J14&lt;&gt;"N/A",NOT(ISERROR(VALUE(J14))))</formula>
    </cfRule>
    <cfRule type="expression" dxfId="78" priority="3" stopIfTrue="1">
      <formula>NOT(OR(ISBLANK(J14),J14="N/A",ISERROR(VALUE(J14))))</formula>
    </cfRule>
  </conditionalFormatting>
  <dataValidations count="6">
    <dataValidation operator="greaterThanOrEqual" allowBlank="1" showInputMessage="1" showErrorMessage="1" sqref="Q11"/>
    <dataValidation type="list" allowBlank="1" showInputMessage="1" showErrorMessage="1" sqref="B13:B40">
      <formula1>"All, D, T, O, M, C, D&amp;M, D&amp;C&amp;T, D&amp;C&amp;M, D&amp;M&amp;T"</formula1>
    </dataValidation>
    <dataValidation type="list" allowBlank="1" showInputMessage="1" showErrorMessage="1" sqref="B12">
      <formula1>"QuestionType"</formula1>
    </dataValidation>
    <dataValidation type="date" operator="greaterThanOrEqual" allowBlank="1" showInputMessage="1" showErrorMessage="1" sqref="K11:P11">
      <formula1>1</formula1>
    </dataValidation>
    <dataValidation type="list" allowBlank="1" showInputMessage="1" showErrorMessage="1" sqref="K13:P13 K15:P40">
      <formula1>"100,50,0,N/A,&lt;&gt;"</formula1>
    </dataValidation>
    <dataValidation type="custom" allowBlank="1" showErrorMessage="1" errorTitle="Input error!" error="You cannot enter value for this parent item!" sqref="J14:P14">
      <formula1>"Parent Item"</formula1>
    </dataValidation>
  </dataValidations>
  <pageMargins left="0.62992125984251968" right="0.35433070866141736" top="0.51181102362204722" bottom="0.59055118110236227" header="0.31496062992125984" footer="0.27559055118110237"/>
  <pageSetup paperSize="9" scale="49" orientation="landscape" horizontalDpi="300" verticalDpi="300" r:id="rId1"/>
  <headerFooter alignWithMargins="0">
    <oddFooter>&amp;L02e-CL/CL/HDCV/FSOFT v2/3&amp;CInternal use&amp;R&amp;P/&amp;N</oddFooter>
  </headerFooter>
  <ignoredErrors>
    <ignoredError sqref="Q8:Q10" formulaRange="1"/>
  </ignoredError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filterMode="1">
    <tabColor indexed="61"/>
  </sheetPr>
  <dimension ref="A1:P73"/>
  <sheetViews>
    <sheetView showGridLines="0" topLeftCell="A13" workbookViewId="0">
      <selection activeCell="F19" sqref="F19"/>
    </sheetView>
  </sheetViews>
  <sheetFormatPr defaultColWidth="9.140625" defaultRowHeight="12.75" x14ac:dyDescent="0.2"/>
  <cols>
    <col min="1" max="1" width="7.5703125" style="94" customWidth="1"/>
    <col min="2" max="2" width="9.5703125" style="94" customWidth="1"/>
    <col min="3" max="3" width="13" style="139" customWidth="1"/>
    <col min="4" max="4" width="16.28515625" style="94" customWidth="1"/>
    <col min="5" max="5" width="36.42578125" style="139" customWidth="1"/>
    <col min="6" max="6" width="35.7109375" style="139" customWidth="1"/>
    <col min="7" max="7" width="37" style="139" customWidth="1"/>
    <col min="8" max="8" width="31.7109375" style="140" customWidth="1"/>
    <col min="9" max="9" width="14.140625" style="145" customWidth="1"/>
    <col min="10" max="10" width="11.42578125" style="94" bestFit="1" customWidth="1"/>
    <col min="11" max="11" width="11.140625" style="94" bestFit="1" customWidth="1"/>
    <col min="12" max="12" width="11.42578125" style="94" bestFit="1" customWidth="1"/>
    <col min="13" max="13" width="11.7109375" style="94" bestFit="1" customWidth="1"/>
    <col min="14" max="14" width="11.7109375" style="94" customWidth="1"/>
    <col min="15" max="16384" width="9.140625" style="94"/>
  </cols>
  <sheetData>
    <row r="1" spans="1:16" s="88" customFormat="1" ht="20.25" x14ac:dyDescent="0.3">
      <c r="A1" s="86"/>
      <c r="B1" s="86"/>
      <c r="C1" s="87" t="s">
        <v>384</v>
      </c>
      <c r="D1" s="86"/>
      <c r="E1" s="141"/>
      <c r="F1" s="141"/>
      <c r="G1" s="141"/>
      <c r="H1" s="89"/>
      <c r="I1" s="243"/>
    </row>
    <row r="2" spans="1:16" x14ac:dyDescent="0.2">
      <c r="A2" s="91"/>
      <c r="B2" s="91"/>
      <c r="C2" s="227" t="s">
        <v>442</v>
      </c>
      <c r="D2" s="91"/>
      <c r="H2" s="95"/>
    </row>
    <row r="3" spans="1:16" s="76" customFormat="1" x14ac:dyDescent="0.2">
      <c r="C3" s="79" t="s">
        <v>340</v>
      </c>
      <c r="D3" s="79" t="s">
        <v>316</v>
      </c>
      <c r="E3" s="79" t="s">
        <v>647</v>
      </c>
      <c r="F3" s="81" t="s">
        <v>289</v>
      </c>
      <c r="G3" s="81" t="s">
        <v>283</v>
      </c>
      <c r="H3" s="81" t="s">
        <v>284</v>
      </c>
      <c r="I3" s="80" t="s">
        <v>286</v>
      </c>
      <c r="J3" s="82" t="s">
        <v>648</v>
      </c>
      <c r="K3" s="80" t="s">
        <v>649</v>
      </c>
      <c r="L3" s="80" t="s">
        <v>285</v>
      </c>
      <c r="M3" s="80" t="s">
        <v>650</v>
      </c>
      <c r="N3" s="80" t="s">
        <v>651</v>
      </c>
      <c r="O3" s="80" t="s">
        <v>652</v>
      </c>
      <c r="P3" s="80" t="s">
        <v>380</v>
      </c>
    </row>
    <row r="4" spans="1:16" s="228" customFormat="1" x14ac:dyDescent="0.2">
      <c r="C4" s="146" t="s">
        <v>63</v>
      </c>
      <c r="D4" s="101" t="str">
        <f>IFERROR(SUMPRODUCT(ISNUMBER(C_CKDATE)*ISNUMBER(C_CKDATA)*C_INTYPE,C_CKDATA)/SUMPRODUCT(ISNUMBER(C_CKDATE)*ISNUMBER(C_CKDATA)*C_INTYPE),"")</f>
        <v/>
      </c>
      <c r="E4" s="102" t="str">
        <f>IFERROR(SUMPRODUCT(ISNUMBER(C_CKDATE)*(C_CAT=E$3)*ISNUMBER(C_CKDATA)*C_INTYPE,C_CKDATA)/SUMPRODUCT(ISNUMBER(C_CKDATE)*(C_CAT=E$3)*ISNUMBER(C_CKDATA)*C_INTYPE),"")</f>
        <v/>
      </c>
      <c r="F4" s="254" t="str">
        <f>IFERROR(SUMPRODUCT(ISNUMBER(C_CKDATE)*(C_CAT=F$3)*ISNUMBER(C_CKDATA)*C_INTYPE,C_CKDATA)/SUMPRODUCT(ISNUMBER(C_CKDATE)*(C_CAT=F$3)*ISNUMBER(C_CKDATA)*C_INTYPE),"")</f>
        <v/>
      </c>
      <c r="G4" s="254" t="str">
        <f>IFERROR(SUMPRODUCT(ISNUMBER(C_CKDATE)*(C_CAT=G$3)*ISNUMBER(C_CKDATA)*C_INTYPE,C_CKDATA)/SUMPRODUCT(ISNUMBER(C_CKDATE)*(C_CAT=G$3)*ISNUMBER(C_CKDATA)*C_INTYPE),"")</f>
        <v/>
      </c>
      <c r="H4" s="254" t="str">
        <f>IFERROR(SUMPRODUCT(ISNUMBER(C_CKDATE)*(C_CAT=H$3)*ISNUMBER(C_CKDATA)*C_INTYPE,C_CKDATA)/SUMPRODUCT(ISNUMBER(C_CKDATE)*(C_CAT=H$3)*ISNUMBER(C_CKDATA)*C_INTYPE),"")</f>
        <v/>
      </c>
      <c r="I4" s="254" t="str">
        <f>IFERROR(SUMPRODUCT(ISNUMBER(C_CKDATE)*(C_CAT=I$3)*ISNUMBER(C_CKDATA)*C_INTYPE,C_CKDATA)/SUMPRODUCT(ISNUMBER(C_CKDATE)*(C_CAT=I$3)*ISNUMBER(C_CKDATA)*C_INTYPE),"")</f>
        <v/>
      </c>
      <c r="J4" s="254" t="str">
        <f>IFERROR(SUMPRODUCT(ISNUMBER(C_CKDATE)*(C_CAT=J$3)*ISNUMBER(C_CKDATA)*C_INTYPE,C_CKDATA)/SUMPRODUCT(ISNUMBER(C_CKDATE)*(C_CAT=J$3)*ISNUMBER(C_CKDATA)*C_INTYPE),"")</f>
        <v/>
      </c>
      <c r="K4" s="254" t="str">
        <f>IFERROR(SUMPRODUCT(ISNUMBER(C_CKDATE)*(C_CAT=K$3)*ISNUMBER(C_CKDATA)*C_INTYPE,C_CKDATA)/SUMPRODUCT(ISNUMBER(C_CKDATE)*(C_CAT=K$3)*ISNUMBER(C_CKDATA)*C_INTYPE),"")</f>
        <v/>
      </c>
      <c r="L4" s="254" t="str">
        <f>IFERROR(SUMPRODUCT(ISNUMBER(C_CKDATE)*(C_CAT=L$3)*ISNUMBER(C_CKDATA)*C_INTYPE,C_CKDATA)/SUMPRODUCT(ISNUMBER(C_CKDATE)*(C_CAT=L$3)*ISNUMBER(C_CKDATA)*C_INTYPE),"")</f>
        <v/>
      </c>
      <c r="M4" s="254" t="str">
        <f>IFERROR(SUMPRODUCT(ISNUMBER(C_CKDATE)*(C_CAT=M$3)*ISNUMBER(C_CKDATA)*C_INTYPE,C_CKDATA)/SUMPRODUCT(ISNUMBER(C_CKDATE)*(C_CAT=M$3)*ISNUMBER(C_CKDATA)*C_INTYPE),"")</f>
        <v/>
      </c>
      <c r="N4" s="254" t="str">
        <f>IFERROR(SUMPRODUCT(ISNUMBER(C_CKDATE)*(C_CAT=N$3)*ISNUMBER(C_CKDATA)*C_INTYPE,C_CKDATA)/SUMPRODUCT(ISNUMBER(C_CKDATE)*(C_CAT=N$3)*ISNUMBER(C_CKDATA)*C_INTYPE),"")</f>
        <v/>
      </c>
      <c r="O4" s="254" t="str">
        <f>IFERROR(SUMPRODUCT(ISNUMBER(C_CKDATE)*(C_CAT=O$3)*ISNUMBER(C_CKDATA)*C_INTYPE,C_CKDATA)/SUMPRODUCT(ISNUMBER(C_CKDATE)*(C_CAT=O$3)*ISNUMBER(C_CKDATA)*C_INTYPE),"")</f>
        <v/>
      </c>
      <c r="P4" s="254" t="str">
        <f>IFERROR(SUMPRODUCT(ISNUMBER(C_CKDATE)*(C_CAT=P$3)*ISNUMBER(C_CKDATA)*C_INTYPE,C_CKDATA)/SUMPRODUCT(ISNUMBER(C_CKDATE)*(C_CAT=P$3)*ISNUMBER(C_CKDATA)*C_INTYPE),"")</f>
        <v/>
      </c>
    </row>
    <row r="5" spans="1:16" s="98" customFormat="1" x14ac:dyDescent="0.2">
      <c r="C5" s="146" t="s">
        <v>351</v>
      </c>
      <c r="D5" s="101" t="str">
        <f>IFERROR(SUMPRODUCT(ISNUMBER(C_CKDATE)*ISNUMBER(C_CKDATA)*C_SM*C_INTYPE,C_CKDATA)/SUMPRODUCT(ISNUMBER(C_CKDATE)*ISNUMBER(C_CKDATA)*C_SM*C_INTYPE),"")</f>
        <v/>
      </c>
      <c r="E5" s="102" t="str">
        <f>IFERROR(SUMPRODUCT(ISNUMBER(C_CKDATE)*(C_CAT=E$3)*ISNUMBER(C_CKDATA)*C_SM*C_INTYPE,C_CKDATA)/SUMPRODUCT(ISNUMBER(C_CKDATE)*(C_CAT=E$3)*ISNUMBER(C_CKDATA)*C_SM*C_INTYPE),"")</f>
        <v/>
      </c>
      <c r="F5" s="254" t="str">
        <f>IFERROR(SUMPRODUCT(ISNUMBER(C_CKDATE)*(C_CAT=F$3)*ISNUMBER(C_CKDATA)*C_SM*C_INTYPE,C_CKDATA)/SUMPRODUCT(ISNUMBER(C_CKDATE)*(C_CAT=F$3)*ISNUMBER(C_CKDATA)*C_SM*C_INTYPE),"")</f>
        <v/>
      </c>
      <c r="G5" s="254" t="str">
        <f>IFERROR(SUMPRODUCT(ISNUMBER(C_CKDATE)*(C_CAT=G$3)*ISNUMBER(C_CKDATA)*C_SM*C_INTYPE,C_CKDATA)/SUMPRODUCT(ISNUMBER(C_CKDATE)*(C_CAT=G$3)*ISNUMBER(C_CKDATA)*C_SM*C_INTYPE),"")</f>
        <v/>
      </c>
      <c r="H5" s="254" t="str">
        <f>IFERROR(SUMPRODUCT(ISNUMBER(C_CKDATE)*(C_CAT=H$3)*ISNUMBER(C_CKDATA)*C_SM*C_INTYPE,C_CKDATA)/SUMPRODUCT(ISNUMBER(C_CKDATE)*(C_CAT=H$3)*ISNUMBER(C_CKDATA)*C_SM*C_INTYPE),"")</f>
        <v/>
      </c>
      <c r="I5" s="254" t="str">
        <f>IFERROR(SUMPRODUCT(ISNUMBER(C_CKDATE)*(C_CAT=I$3)*ISNUMBER(C_CKDATA)*C_SM*C_INTYPE,C_CKDATA)/SUMPRODUCT(ISNUMBER(C_CKDATE)*(C_CAT=I$3)*ISNUMBER(C_CKDATA)*C_SM*C_INTYPE),"")</f>
        <v/>
      </c>
      <c r="J5" s="254" t="str">
        <f>IFERROR(SUMPRODUCT(ISNUMBER(C_CKDATE)*(C_CAT=J$3)*ISNUMBER(C_CKDATA)*C_SM*C_INTYPE,C_CKDATA)/SUMPRODUCT(ISNUMBER(C_CKDATE)*(C_CAT=J$3)*ISNUMBER(C_CKDATA)*C_SM*C_INTYPE),"")</f>
        <v/>
      </c>
      <c r="K5" s="254" t="str">
        <f>IFERROR(SUMPRODUCT(ISNUMBER(C_CKDATE)*(C_CAT=K$3)*ISNUMBER(C_CKDATA)*C_SM*C_INTYPE,C_CKDATA)/SUMPRODUCT(ISNUMBER(C_CKDATE)*(C_CAT=K$3)*ISNUMBER(C_CKDATA)*C_SM*C_INTYPE),"")</f>
        <v/>
      </c>
      <c r="L5" s="254" t="str">
        <f>IFERROR(SUMPRODUCT(ISNUMBER(C_CKDATE)*(C_CAT=L$3)*ISNUMBER(C_CKDATA)*C_SM*C_INTYPE,C_CKDATA)/SUMPRODUCT(ISNUMBER(C_CKDATE)*(C_CAT=L$3)*ISNUMBER(C_CKDATA)*C_SM*C_INTYPE),"")</f>
        <v/>
      </c>
      <c r="M5" s="254" t="str">
        <f>IFERROR(SUMPRODUCT(ISNUMBER(C_CKDATE)*(C_CAT=M$3)*ISNUMBER(C_CKDATA)*C_SM*C_INTYPE,C_CKDATA)/SUMPRODUCT(ISNUMBER(C_CKDATE)*(C_CAT=M$3)*ISNUMBER(C_CKDATA)*C_SM*C_INTYPE),"")</f>
        <v/>
      </c>
      <c r="N5" s="254" t="str">
        <f>IFERROR(SUMPRODUCT(ISNUMBER(C_CKDATE)*(C_CAT=N$3)*ISNUMBER(C_CKDATA)*C_SM*C_INTYPE,C_CKDATA)/SUMPRODUCT(ISNUMBER(C_CKDATE)*(C_CAT=N$3)*ISNUMBER(C_CKDATA)*C_SM*C_INTYPE),"")</f>
        <v/>
      </c>
      <c r="O5" s="254" t="str">
        <f>IFERROR(SUMPRODUCT(ISNUMBER(C_CKDATE)*(C_CAT=O$3)*ISNUMBER(C_CKDATA)*C_SM*C_INTYPE,C_CKDATA)/SUMPRODUCT(ISNUMBER(C_CKDATE)*(C_CAT=O$3)*ISNUMBER(C_CKDATA)*C_SM*C_INTYPE),"")</f>
        <v/>
      </c>
      <c r="P5" s="254" t="str">
        <f>IFERROR(SUMPRODUCT(ISNUMBER(C_CKDATE)*(C_CAT=P$3)*ISNUMBER(C_CKDATA)*C_SM*C_INTYPE,C_CKDATA)/SUMPRODUCT(ISNUMBER(C_CKDATE)*(C_CAT=P$3)*ISNUMBER(C_CKDATA)*C_SM*C_INTYPE),"")</f>
        <v/>
      </c>
    </row>
    <row r="6" spans="1:16" s="98" customFormat="1" x14ac:dyDescent="0.2">
      <c r="C6" s="146" t="s">
        <v>352</v>
      </c>
      <c r="D6" s="101" t="str">
        <f>IFERROR(SUMPRODUCT(ISNUMBER(C_CKDATE)*ISNUMBER(C_CKDATA)*C_PM*C_INTYPE,C_CKDATA)/SUMPRODUCT(ISNUMBER(C_CKDATE)*ISNUMBER(C_CKDATA)*C_PM*C_INTYPE),"")</f>
        <v/>
      </c>
      <c r="E6" s="102" t="str">
        <f>IFERROR(SUMPRODUCT(ISNUMBER(C_CKDATE)*(C_CAT=E$3)*ISNUMBER(C_CKDATA)*C_PM*C_INTYPE,C_CKDATA)/SUMPRODUCT(ISNUMBER(C_CKDATE)*(C_CAT=E$3)*ISNUMBER(C_CKDATA)*C_PM*C_INTYPE),"")</f>
        <v/>
      </c>
      <c r="F6" s="254" t="str">
        <f>IFERROR(SUMPRODUCT(ISNUMBER(C_CKDATE)*(C_CAT=F$3)*ISNUMBER(C_CKDATA)*C_PM*C_INTYPE,C_CKDATA)/SUMPRODUCT(ISNUMBER(C_CKDATE)*(C_CAT=F$3)*ISNUMBER(C_CKDATA)*C_PM*C_INTYPE),"")</f>
        <v/>
      </c>
      <c r="G6" s="254" t="str">
        <f>IFERROR(SUMPRODUCT(ISNUMBER(C_CKDATE)*(C_CAT=G$3)*ISNUMBER(C_CKDATA)*C_PM*C_INTYPE,C_CKDATA)/SUMPRODUCT(ISNUMBER(C_CKDATE)*(C_CAT=G$3)*ISNUMBER(C_CKDATA)*C_PM*C_INTYPE),"")</f>
        <v/>
      </c>
      <c r="H6" s="254" t="str">
        <f>IFERROR(SUMPRODUCT(ISNUMBER(C_CKDATE)*(C_CAT=H$3)*ISNUMBER(C_CKDATA)*C_PM*C_INTYPE,C_CKDATA)/SUMPRODUCT(ISNUMBER(C_CKDATE)*(C_CAT=H$3)*ISNUMBER(C_CKDATA)*C_PM*C_INTYPE),"")</f>
        <v/>
      </c>
      <c r="I6" s="254" t="str">
        <f>IFERROR(SUMPRODUCT(ISNUMBER(C_CKDATE)*(C_CAT=I$3)*ISNUMBER(C_CKDATA)*C_PM*C_INTYPE,C_CKDATA)/SUMPRODUCT(ISNUMBER(C_CKDATE)*(C_CAT=I$3)*ISNUMBER(C_CKDATA)*C_PM*C_INTYPE),"")</f>
        <v/>
      </c>
      <c r="J6" s="254" t="str">
        <f>IFERROR(SUMPRODUCT(ISNUMBER(C_CKDATE)*(C_CAT=J$3)*ISNUMBER(C_CKDATA)*C_PM*C_INTYPE,C_CKDATA)/SUMPRODUCT(ISNUMBER(C_CKDATE)*(C_CAT=J$3)*ISNUMBER(C_CKDATA)*C_PM*C_INTYPE),"")</f>
        <v/>
      </c>
      <c r="K6" s="254" t="str">
        <f>IFERROR(SUMPRODUCT(ISNUMBER(C_CKDATE)*(C_CAT=K$3)*ISNUMBER(C_CKDATA)*C_PM*C_INTYPE,C_CKDATA)/SUMPRODUCT(ISNUMBER(C_CKDATE)*(C_CAT=K$3)*ISNUMBER(C_CKDATA)*C_PM*C_INTYPE),"")</f>
        <v/>
      </c>
      <c r="L6" s="254" t="str">
        <f>IFERROR(SUMPRODUCT(ISNUMBER(C_CKDATE)*(C_CAT=L$3)*ISNUMBER(C_CKDATA)*C_PM*C_INTYPE,C_CKDATA)/SUMPRODUCT(ISNUMBER(C_CKDATE)*(C_CAT=L$3)*ISNUMBER(C_CKDATA)*C_PM*C_INTYPE),"")</f>
        <v/>
      </c>
      <c r="M6" s="254" t="str">
        <f>IFERROR(SUMPRODUCT(ISNUMBER(C_CKDATE)*(C_CAT=M$3)*ISNUMBER(C_CKDATA)*C_PM*C_INTYPE,C_CKDATA)/SUMPRODUCT(ISNUMBER(C_CKDATE)*(C_CAT=M$3)*ISNUMBER(C_CKDATA)*C_PM*C_INTYPE),"")</f>
        <v/>
      </c>
      <c r="N6" s="254" t="str">
        <f>IFERROR(SUMPRODUCT(ISNUMBER(C_CKDATE)*(C_CAT=N$3)*ISNUMBER(C_CKDATA)*C_PM*C_INTYPE,C_CKDATA)/SUMPRODUCT(ISNUMBER(C_CKDATE)*(C_CAT=N$3)*ISNUMBER(C_CKDATA)*C_PM*C_INTYPE),"")</f>
        <v/>
      </c>
      <c r="O6" s="254" t="str">
        <f>IFERROR(SUMPRODUCT(ISNUMBER(C_CKDATE)*(C_CAT=O$3)*ISNUMBER(C_CKDATA)*C_PM*C_INTYPE,C_CKDATA)/SUMPRODUCT(ISNUMBER(C_CKDATE)*(C_CAT=O$3)*ISNUMBER(C_CKDATA)*C_PM*C_INTYPE),"")</f>
        <v/>
      </c>
      <c r="P6" s="254" t="str">
        <f>IFERROR(SUMPRODUCT(ISNUMBER(C_CKDATE)*(C_CAT=P$3)*ISNUMBER(C_CKDATA)*C_PM*C_INTYPE,C_CKDATA)/SUMPRODUCT(ISNUMBER(C_CKDATE)*(C_CAT=P$3)*ISNUMBER(C_CKDATA)*C_PM*C_INTYPE),"")</f>
        <v/>
      </c>
    </row>
    <row r="7" spans="1:16" s="97" customFormat="1" x14ac:dyDescent="0.2">
      <c r="A7" s="229"/>
      <c r="B7" s="229"/>
      <c r="C7" s="230"/>
      <c r="D7" s="229"/>
      <c r="E7" s="238"/>
      <c r="F7" s="238"/>
      <c r="G7" s="239"/>
      <c r="H7" s="231"/>
      <c r="I7" s="232"/>
    </row>
    <row r="8" spans="1:16" x14ac:dyDescent="0.2">
      <c r="A8" s="91"/>
      <c r="B8" s="106"/>
      <c r="C8" s="106"/>
      <c r="D8" s="108"/>
      <c r="E8" s="230"/>
      <c r="F8" s="143"/>
      <c r="G8" s="143"/>
      <c r="H8" s="113"/>
      <c r="I8" s="478" t="s">
        <v>432</v>
      </c>
      <c r="J8" s="479"/>
      <c r="K8" s="101" t="str">
        <f>IF(ISNUMBER(K$11),IFERROR(SUMPRODUCT(ISNUMBER(C_CDATA)*C_INTYPE,C_CDATA)/SUMPRODUCT(ISNUMBER(C_CDATA)*C_INTYPE),""),"")</f>
        <v/>
      </c>
      <c r="L8" s="101" t="str">
        <f>IF(ISNUMBER(L$11),IFERROR(SUMPRODUCT(ISNUMBER(C_CDATA)*C_INTYPE,C_CDATA)/SUMPRODUCT(ISNUMBER(C_CDATA)*C_INTYPE),""),"")</f>
        <v/>
      </c>
      <c r="M8" s="101" t="str">
        <f>IF(ISNUMBER(M$11),IFERROR(SUMPRODUCT(ISNUMBER(C_CDATA)*C_INTYPE,C_CDATA)/SUMPRODUCT(ISNUMBER(C_CDATA)*C_INTYPE),""),"")</f>
        <v/>
      </c>
      <c r="N8" s="101" t="str">
        <f>IF(ISNUMBER(N$11),IFERROR(SUMPRODUCT(ISNUMBER(C_CDATA)*C_INTYPE,C_CDATA)/SUMPRODUCT(ISNUMBER(C_CDATA)*C_INTYPE),""),"")</f>
        <v/>
      </c>
      <c r="O8" s="109" t="str">
        <f>IF(OR(SUMPRODUCT(ISNUMBER(O13:O73)*($D$13:$D$73&lt;&gt;""))=0,NOT(ISNUMBER(O11))),"",SUMPRODUCT(ISNUMBER(O13:O73)*($D$13:$D$73&lt;&gt;""),O13:O73)/SUMPRODUCT(ISNUMBER(O13:O73)*($D$13:$D$73&lt;&gt;"")))</f>
        <v/>
      </c>
    </row>
    <row r="9" spans="1:16" x14ac:dyDescent="0.2">
      <c r="A9" s="91"/>
      <c r="B9" s="92"/>
      <c r="C9" s="92"/>
      <c r="D9" s="108"/>
      <c r="E9" s="230"/>
      <c r="F9" s="143"/>
      <c r="G9" s="143"/>
      <c r="H9" s="113"/>
      <c r="I9" s="478" t="s">
        <v>433</v>
      </c>
      <c r="J9" s="479"/>
      <c r="K9" s="101" t="str">
        <f>IF(ISNUMBER(K$11),IFERROR(SUMPRODUCT(ISNUMBER(C_CDATA)*C_SM*C_INTYPE,C_CDATA)/SUMPRODUCT(ISNUMBER(C_CDATA)*C_SM*C_INTYPE),""),"")</f>
        <v/>
      </c>
      <c r="L9" s="101" t="str">
        <f>IF(ISNUMBER(L$11),IFERROR(SUMPRODUCT(ISNUMBER(C_CDATA)*C_SM*C_INTYPE,C_CDATA)/SUMPRODUCT(ISNUMBER(C_CDATA)*C_SM*C_INTYPE),""),"")</f>
        <v/>
      </c>
      <c r="M9" s="101" t="str">
        <f>IF(ISNUMBER(M$11),IFERROR(SUMPRODUCT(ISNUMBER(C_CDATA)*C_SM*C_INTYPE,C_CDATA)/SUMPRODUCT(ISNUMBER(C_CDATA)*C_SM*C_INTYPE),""),"")</f>
        <v/>
      </c>
      <c r="N9" s="101" t="str">
        <f>IF(ISNUMBER(N$11),IFERROR(SUMPRODUCT(ISNUMBER(C_CDATA)*C_SM*C_INTYPE,C_CDATA)/SUMPRODUCT(ISNUMBER(C_CDATA)*C_SM*C_INTYPE),""),"")</f>
        <v/>
      </c>
      <c r="O9" s="109" t="str">
        <f>IF(OR(SUMPRODUCT(($E$13:$E$73="Senior Management Involvement")*ISNUMBER(O13:O73)*($D$13:$D$73&lt;&gt;""))=0,NOT(ISNUMBER(O11))),"",SUMPRODUCT(($E$13:$E$73="Senior Management Involvement")*ISNUMBER(O13:O73)*($D$13:$D$73&lt;&gt;""),O13:O73)/SUMPRODUCT(($E$13:$E$73="Senior Management Involvement")*ISNUMBER(O13:O73)*($D$13:$D$73&lt;&gt;"")))</f>
        <v/>
      </c>
    </row>
    <row r="10" spans="1:16" x14ac:dyDescent="0.2">
      <c r="A10" s="91"/>
      <c r="B10" s="92"/>
      <c r="C10" s="92"/>
      <c r="D10" s="108"/>
      <c r="E10" s="108"/>
      <c r="F10" s="143"/>
      <c r="G10" s="143"/>
      <c r="H10" s="113"/>
      <c r="I10" s="478" t="s">
        <v>434</v>
      </c>
      <c r="J10" s="479"/>
      <c r="K10" s="101" t="str">
        <f>IF(ISNUMBER(K$11),IFERROR(SUMPRODUCT(ISNUMBER(C_CDATA)*C_PM*C_INTYPE,C_CDATA)/SUMPRODUCT(ISNUMBER(C_CDATA)*C_PM*C_INTYPE),""),"")</f>
        <v/>
      </c>
      <c r="L10" s="101" t="str">
        <f>IF(ISNUMBER(L$11),IFERROR(SUMPRODUCT(ISNUMBER(C_CDATA)*C_PM*C_INTYPE,C_CDATA)/SUMPRODUCT(ISNUMBER(C_CDATA)*C_PM*C_INTYPE),""),"")</f>
        <v/>
      </c>
      <c r="M10" s="101" t="str">
        <f>IF(ISNUMBER(M$11),IFERROR(SUMPRODUCT(ISNUMBER(C_CDATA)*C_PM*C_INTYPE,C_CDATA)/SUMPRODUCT(ISNUMBER(C_CDATA)*C_PM*C_INTYPE),""),"")</f>
        <v/>
      </c>
      <c r="N10" s="101" t="str">
        <f>IF(ISNUMBER(N$11),IFERROR(SUMPRODUCT(ISNUMBER(C_CDATA)*C_PM*C_INTYPE,C_CDATA)/SUMPRODUCT(ISNUMBER(C_CDATA)*C_PM*C_INTYPE),""),"")</f>
        <v/>
      </c>
      <c r="O10" s="109" t="str">
        <f>IF(OR(SUMPRODUCT(($E$13:$E$73&lt;&gt;"Senior Management Involvement")*ISNUMBER(O13:O73)*($D$13:$D$73&lt;&gt;""))=0,NOT(ISNUMBER(O11))),"",SUMPRODUCT(($E$13:$E$73&lt;&gt;"Senior Management Involvement")*ISNUMBER(O13:O73)*($D$13:$D$73&lt;&gt;""),O13:O73)/SUMPRODUCT(($E$13:$E$73&lt;&gt;"Senior Management Involvement")*ISNUMBER(O13:O73)*($D$13:$D$73&lt;&gt;"")))</f>
        <v/>
      </c>
    </row>
    <row r="11" spans="1:16" x14ac:dyDescent="0.2">
      <c r="A11" s="91"/>
      <c r="B11" s="91"/>
      <c r="C11" s="91"/>
      <c r="D11" s="108"/>
      <c r="E11" s="108"/>
      <c r="F11" s="143"/>
      <c r="G11" s="143"/>
      <c r="H11" s="113"/>
      <c r="I11" s="478" t="s">
        <v>435</v>
      </c>
      <c r="J11" s="479"/>
      <c r="K11" s="114"/>
      <c r="L11" s="114"/>
      <c r="M11" s="114"/>
      <c r="N11" s="114"/>
      <c r="O11" s="116"/>
    </row>
    <row r="12" spans="1:16" s="224" customFormat="1" ht="57.75" customHeight="1" x14ac:dyDescent="0.2">
      <c r="A12" s="83" t="s">
        <v>126</v>
      </c>
      <c r="B12" s="83" t="str">
        <f>MacroFilter_ColumnName</f>
        <v>QuestionType</v>
      </c>
      <c r="C12" s="83" t="s">
        <v>653</v>
      </c>
      <c r="D12" s="83" t="s">
        <v>684</v>
      </c>
      <c r="E12" s="83" t="s">
        <v>299</v>
      </c>
      <c r="F12" s="83" t="s">
        <v>293</v>
      </c>
      <c r="G12" s="83" t="s">
        <v>343</v>
      </c>
      <c r="H12" s="83" t="s">
        <v>402</v>
      </c>
      <c r="I12" s="192" t="s">
        <v>267</v>
      </c>
      <c r="J12" s="193" t="s">
        <v>404</v>
      </c>
      <c r="K12" s="83" t="s">
        <v>60</v>
      </c>
      <c r="L12" s="83" t="s">
        <v>61</v>
      </c>
      <c r="M12" s="83" t="s">
        <v>867</v>
      </c>
      <c r="N12" s="83" t="s">
        <v>251</v>
      </c>
      <c r="O12" s="194" t="s">
        <v>472</v>
      </c>
    </row>
    <row r="13" spans="1:16" s="233" customFormat="1" ht="51" x14ac:dyDescent="0.2">
      <c r="A13" s="24" t="s">
        <v>203</v>
      </c>
      <c r="B13" s="20" t="s">
        <v>533</v>
      </c>
      <c r="C13" s="24">
        <v>2</v>
      </c>
      <c r="D13" s="24" t="s">
        <v>380</v>
      </c>
      <c r="E13" s="240" t="s">
        <v>378</v>
      </c>
      <c r="F13" s="117" t="s">
        <v>869</v>
      </c>
      <c r="G13" s="117"/>
      <c r="H13" s="24"/>
      <c r="I13" s="119"/>
      <c r="J13" s="120" t="str">
        <f>IFERROR(SUMPRODUCT(ISNUMBER(C_CKDATE)*ISNUMBER(C_RDATA),C_RDATA)/SUMPRODUCT(ISNUMBER(C_CKDATE)*ISNUMBER(C_RDATA)),"")</f>
        <v/>
      </c>
      <c r="K13" s="121"/>
      <c r="L13" s="121"/>
      <c r="M13" s="121"/>
      <c r="N13" s="121"/>
      <c r="O13" s="122"/>
    </row>
    <row r="14" spans="1:16" s="233" customFormat="1" ht="38.25" x14ac:dyDescent="0.2">
      <c r="A14" s="117" t="s">
        <v>204</v>
      </c>
      <c r="B14" s="20" t="s">
        <v>533</v>
      </c>
      <c r="C14" s="24">
        <v>2</v>
      </c>
      <c r="D14" s="24" t="s">
        <v>380</v>
      </c>
      <c r="E14" s="117" t="s">
        <v>378</v>
      </c>
      <c r="F14" s="117" t="s">
        <v>870</v>
      </c>
      <c r="G14" s="117"/>
      <c r="H14" s="24"/>
      <c r="I14" s="119"/>
      <c r="J14" s="120" t="str">
        <f>IFERROR(SUMPRODUCT(ISNUMBER(C_CKDATE)*ISNUMBER(C_RDATA),C_RDATA)/SUMPRODUCT(ISNUMBER(C_CKDATE)*ISNUMBER(C_RDATA)),"")</f>
        <v/>
      </c>
      <c r="K14" s="121"/>
      <c r="L14" s="121"/>
      <c r="M14" s="121"/>
      <c r="N14" s="121"/>
      <c r="O14" s="122"/>
    </row>
    <row r="15" spans="1:16" s="233" customFormat="1" x14ac:dyDescent="0.2">
      <c r="A15" s="117" t="s">
        <v>205</v>
      </c>
      <c r="B15" s="20" t="s">
        <v>533</v>
      </c>
      <c r="C15" s="24">
        <v>2</v>
      </c>
      <c r="D15" s="24" t="s">
        <v>380</v>
      </c>
      <c r="E15" s="117" t="s">
        <v>282</v>
      </c>
      <c r="F15" s="117" t="s">
        <v>871</v>
      </c>
      <c r="G15" s="117"/>
      <c r="H15" s="24"/>
      <c r="I15" s="119"/>
      <c r="J15" s="120" t="str">
        <f>IFERROR(SUMPRODUCT(ISNUMBER(C_CKDATE)*ISNUMBER(C_RDATA),C_RDATA)/SUMPRODUCT(ISNUMBER(C_CKDATE)*ISNUMBER(C_RDATA)),"")</f>
        <v/>
      </c>
      <c r="K15" s="121"/>
      <c r="L15" s="121"/>
      <c r="M15" s="121"/>
      <c r="N15" s="121"/>
      <c r="O15" s="122"/>
    </row>
    <row r="16" spans="1:16" s="233" customFormat="1" ht="38.25" x14ac:dyDescent="0.2">
      <c r="A16" s="24" t="s">
        <v>206</v>
      </c>
      <c r="B16" s="20" t="s">
        <v>533</v>
      </c>
      <c r="C16" s="24">
        <v>2</v>
      </c>
      <c r="D16" s="24" t="s">
        <v>380</v>
      </c>
      <c r="E16" s="240" t="s">
        <v>282</v>
      </c>
      <c r="F16" s="117" t="s">
        <v>590</v>
      </c>
      <c r="G16" s="126"/>
      <c r="H16" s="24"/>
      <c r="I16" s="119"/>
      <c r="J16" s="120" t="str">
        <f>IFERROR(SUMPRODUCT(ISNUMBER(C_CKDATE)*ISNUMBER(C_RDATA),C_RDATA)/SUMPRODUCT(ISNUMBER(C_CKDATE)*ISNUMBER(C_RDATA)),"")</f>
        <v/>
      </c>
      <c r="K16" s="121"/>
      <c r="L16" s="121"/>
      <c r="M16" s="121"/>
      <c r="N16" s="121"/>
      <c r="O16" s="122"/>
    </row>
    <row r="17" spans="1:15" s="233" customFormat="1" ht="38.25" x14ac:dyDescent="0.2">
      <c r="A17" s="117" t="s">
        <v>207</v>
      </c>
      <c r="B17" s="20" t="s">
        <v>533</v>
      </c>
      <c r="C17" s="24">
        <v>2</v>
      </c>
      <c r="D17" s="24" t="s">
        <v>380</v>
      </c>
      <c r="E17" s="117" t="s">
        <v>20</v>
      </c>
      <c r="F17" s="117" t="s">
        <v>872</v>
      </c>
      <c r="G17" s="117"/>
      <c r="H17" s="24"/>
      <c r="I17" s="119"/>
      <c r="J17" s="120" t="str">
        <f>IFERROR(SUMPRODUCT(ISNUMBER(C_CKDATE)*ISNUMBER(C_RDATA),C_RDATA)/SUMPRODUCT(ISNUMBER(C_CKDATE)*ISNUMBER(C_RDATA)),"")</f>
        <v/>
      </c>
      <c r="K17" s="121"/>
      <c r="L17" s="121"/>
      <c r="M17" s="121"/>
      <c r="N17" s="121"/>
      <c r="O17" s="122"/>
    </row>
    <row r="18" spans="1:15" s="233" customFormat="1" ht="63.75" x14ac:dyDescent="0.2">
      <c r="A18" s="24" t="s">
        <v>208</v>
      </c>
      <c r="B18" s="20" t="s">
        <v>533</v>
      </c>
      <c r="C18" s="24">
        <v>2</v>
      </c>
      <c r="D18" s="24" t="s">
        <v>380</v>
      </c>
      <c r="E18" s="117" t="s">
        <v>379</v>
      </c>
      <c r="F18" s="117" t="s">
        <v>591</v>
      </c>
      <c r="G18" s="117"/>
      <c r="H18" s="24"/>
      <c r="I18" s="119"/>
      <c r="J18" s="120" t="str">
        <f>IFERROR(SUMPRODUCT(ISNUMBER(C_CKDATE)*ISNUMBER(C_RDATA),C_RDATA)/SUMPRODUCT(ISNUMBER(C_CKDATE)*ISNUMBER(C_RDATA)),"")</f>
        <v/>
      </c>
      <c r="K18" s="121"/>
      <c r="L18" s="121"/>
      <c r="M18" s="121"/>
      <c r="N18" s="121"/>
      <c r="O18" s="122"/>
    </row>
    <row r="19" spans="1:15" s="233" customFormat="1" ht="102" x14ac:dyDescent="0.2">
      <c r="A19" s="24" t="s">
        <v>209</v>
      </c>
      <c r="B19" s="20" t="s">
        <v>533</v>
      </c>
      <c r="C19" s="24">
        <v>2</v>
      </c>
      <c r="D19" s="24" t="s">
        <v>380</v>
      </c>
      <c r="E19" s="117" t="s">
        <v>379</v>
      </c>
      <c r="F19" s="117" t="s">
        <v>873</v>
      </c>
      <c r="G19" s="117"/>
      <c r="H19" s="24"/>
      <c r="I19" s="119"/>
      <c r="J19" s="120" t="str">
        <f>IFERROR(SUMPRODUCT(ISNUMBER(C_CKDATE)*ISNUMBER(C_RDATA),C_RDATA)/SUMPRODUCT(ISNUMBER(C_CKDATE)*ISNUMBER(C_RDATA)),"")</f>
        <v/>
      </c>
      <c r="K19" s="121"/>
      <c r="L19" s="121"/>
      <c r="M19" s="121"/>
      <c r="N19" s="121"/>
      <c r="O19" s="122"/>
    </row>
    <row r="20" spans="1:15" s="233" customFormat="1" ht="127.5" x14ac:dyDescent="0.2">
      <c r="A20" s="117" t="s">
        <v>21</v>
      </c>
      <c r="B20" s="20" t="s">
        <v>533</v>
      </c>
      <c r="C20" s="24">
        <v>2</v>
      </c>
      <c r="D20" s="24" t="s">
        <v>380</v>
      </c>
      <c r="E20" s="117" t="s">
        <v>866</v>
      </c>
      <c r="F20" s="117" t="s">
        <v>868</v>
      </c>
      <c r="G20" s="117"/>
      <c r="H20" s="24"/>
      <c r="I20" s="119"/>
      <c r="J20" s="120" t="str">
        <f>IFERROR(SUMPRODUCT(ISNUMBER(C_CKDATE)*ISNUMBER(C_RDATA),C_RDATA)/SUMPRODUCT(ISNUMBER(C_CKDATE)*ISNUMBER(C_RDATA)),"")</f>
        <v/>
      </c>
      <c r="K20" s="121"/>
      <c r="L20" s="121"/>
      <c r="M20" s="121"/>
      <c r="N20" s="121"/>
      <c r="O20" s="122"/>
    </row>
    <row r="21" spans="1:15" s="233" customFormat="1" ht="25.5" x14ac:dyDescent="0.2">
      <c r="A21" s="24" t="s">
        <v>210</v>
      </c>
      <c r="B21" s="20" t="s">
        <v>533</v>
      </c>
      <c r="C21" s="24">
        <v>2</v>
      </c>
      <c r="D21" s="24" t="s">
        <v>380</v>
      </c>
      <c r="E21" s="117" t="s">
        <v>300</v>
      </c>
      <c r="F21" s="117" t="s">
        <v>874</v>
      </c>
      <c r="G21" s="117"/>
      <c r="H21" s="24"/>
      <c r="I21" s="119"/>
      <c r="J21" s="120" t="str">
        <f>IFERROR(SUMPRODUCT(ISNUMBER(C_CKDATE)*ISNUMBER(C_RDATA),C_RDATA)/SUMPRODUCT(ISNUMBER(C_CKDATE)*ISNUMBER(C_RDATA)),"")</f>
        <v/>
      </c>
      <c r="K21" s="121"/>
      <c r="L21" s="121"/>
      <c r="M21" s="121"/>
      <c r="N21" s="121"/>
      <c r="O21" s="122"/>
    </row>
    <row r="22" spans="1:15" s="233" customFormat="1" ht="63.75" x14ac:dyDescent="0.2">
      <c r="A22" s="24" t="s">
        <v>211</v>
      </c>
      <c r="B22" s="20" t="s">
        <v>533</v>
      </c>
      <c r="C22" s="24">
        <v>2</v>
      </c>
      <c r="D22" s="24" t="s">
        <v>380</v>
      </c>
      <c r="E22" s="117" t="s">
        <v>300</v>
      </c>
      <c r="F22" s="117" t="s">
        <v>875</v>
      </c>
      <c r="G22" s="125"/>
      <c r="H22" s="24"/>
      <c r="I22" s="119"/>
      <c r="J22" s="120" t="str">
        <f>IFERROR(SUMPRODUCT(ISNUMBER(C_CKDATE)*ISNUMBER(C_RDATA),C_RDATA)/SUMPRODUCT(ISNUMBER(C_CKDATE)*ISNUMBER(C_RDATA)),"")</f>
        <v/>
      </c>
      <c r="K22" s="121"/>
      <c r="L22" s="121"/>
      <c r="M22" s="121"/>
      <c r="N22" s="121"/>
      <c r="O22" s="122"/>
    </row>
    <row r="23" spans="1:15" s="233" customFormat="1" ht="25.5" x14ac:dyDescent="0.2">
      <c r="A23" s="24" t="s">
        <v>212</v>
      </c>
      <c r="B23" s="20" t="s">
        <v>533</v>
      </c>
      <c r="C23" s="24">
        <v>2</v>
      </c>
      <c r="D23" s="24" t="s">
        <v>380</v>
      </c>
      <c r="E23" s="117" t="s">
        <v>300</v>
      </c>
      <c r="F23" s="117" t="s">
        <v>273</v>
      </c>
      <c r="G23" s="24"/>
      <c r="H23" s="24"/>
      <c r="I23" s="119"/>
      <c r="J23" s="120" t="str">
        <f>IFERROR(SUMPRODUCT(ISNUMBER(C_CKDATE)*ISNUMBER(C_RDATA),C_RDATA)/SUMPRODUCT(ISNUMBER(C_CKDATE)*ISNUMBER(C_RDATA)),"")</f>
        <v/>
      </c>
      <c r="K23" s="121"/>
      <c r="L23" s="121"/>
      <c r="M23" s="121"/>
      <c r="N23" s="121"/>
      <c r="O23" s="122"/>
    </row>
    <row r="24" spans="1:15" s="233" customFormat="1" ht="25.5" x14ac:dyDescent="0.2">
      <c r="A24" s="24" t="s">
        <v>213</v>
      </c>
      <c r="B24" s="20" t="s">
        <v>533</v>
      </c>
      <c r="C24" s="24">
        <v>2</v>
      </c>
      <c r="D24" s="24" t="s">
        <v>380</v>
      </c>
      <c r="E24" s="117" t="s">
        <v>300</v>
      </c>
      <c r="F24" s="117" t="s">
        <v>952</v>
      </c>
      <c r="G24" s="117"/>
      <c r="H24" s="24"/>
      <c r="I24" s="119"/>
      <c r="J24" s="120" t="str">
        <f>IFERROR(SUMPRODUCT(ISNUMBER(C_CKDATE)*ISNUMBER(C_RDATA),C_RDATA)/SUMPRODUCT(ISNUMBER(C_CKDATE)*ISNUMBER(C_RDATA)),"")</f>
        <v/>
      </c>
      <c r="K24" s="121"/>
      <c r="L24" s="121"/>
      <c r="M24" s="121"/>
      <c r="N24" s="121"/>
      <c r="O24" s="122"/>
    </row>
    <row r="25" spans="1:15" s="233" customFormat="1" ht="38.25" x14ac:dyDescent="0.2">
      <c r="A25" s="24" t="s">
        <v>214</v>
      </c>
      <c r="B25" s="20" t="s">
        <v>534</v>
      </c>
      <c r="C25" s="24">
        <v>2</v>
      </c>
      <c r="D25" s="24" t="s">
        <v>380</v>
      </c>
      <c r="E25" s="117" t="s">
        <v>300</v>
      </c>
      <c r="F25" s="117" t="s">
        <v>876</v>
      </c>
      <c r="G25" s="117" t="s">
        <v>614</v>
      </c>
      <c r="H25" s="24"/>
      <c r="I25" s="119"/>
      <c r="J25" s="120" t="str">
        <f>IFERROR(SUMPRODUCT(ISNUMBER(C_CKDATE)*ISNUMBER(C_RDATA),C_RDATA)/SUMPRODUCT(ISNUMBER(C_CKDATE)*ISNUMBER(C_RDATA)),"")</f>
        <v/>
      </c>
      <c r="K25" s="121"/>
      <c r="L25" s="121"/>
      <c r="M25" s="121"/>
      <c r="N25" s="121"/>
      <c r="O25" s="122"/>
    </row>
    <row r="26" spans="1:15" s="234" customFormat="1" ht="25.5" hidden="1" x14ac:dyDescent="0.2">
      <c r="A26" s="20" t="s">
        <v>214</v>
      </c>
      <c r="B26" s="20" t="s">
        <v>537</v>
      </c>
      <c r="C26" s="24">
        <v>2</v>
      </c>
      <c r="D26" s="24" t="s">
        <v>380</v>
      </c>
      <c r="E26" s="20" t="s">
        <v>300</v>
      </c>
      <c r="F26" s="20" t="s">
        <v>877</v>
      </c>
      <c r="G26" s="117" t="s">
        <v>614</v>
      </c>
      <c r="H26" s="20"/>
      <c r="I26" s="21"/>
      <c r="J26" s="120" t="str">
        <f>IFERROR(SUMPRODUCT(ISNUMBER(C_CKDATE)*ISNUMBER(C_RDATA),C_RDATA)/SUMPRODUCT(ISNUMBER(C_CKDATE)*ISNUMBER(C_RDATA)),"")</f>
        <v/>
      </c>
      <c r="K26" s="121"/>
      <c r="L26" s="124"/>
      <c r="M26" s="124"/>
      <c r="N26" s="124"/>
      <c r="O26" s="122"/>
    </row>
    <row r="27" spans="1:15" s="234" customFormat="1" ht="51" hidden="1" x14ac:dyDescent="0.2">
      <c r="A27" s="20" t="s">
        <v>214</v>
      </c>
      <c r="B27" s="20" t="s">
        <v>538</v>
      </c>
      <c r="C27" s="24">
        <v>2</v>
      </c>
      <c r="D27" s="24" t="s">
        <v>380</v>
      </c>
      <c r="E27" s="20" t="s">
        <v>300</v>
      </c>
      <c r="F27" s="20" t="s">
        <v>950</v>
      </c>
      <c r="G27" s="117" t="s">
        <v>614</v>
      </c>
      <c r="H27" s="20"/>
      <c r="I27" s="21"/>
      <c r="J27" s="120" t="str">
        <f>IFERROR(SUMPRODUCT(ISNUMBER(C_CKDATE)*ISNUMBER(C_RDATA),C_RDATA)/SUMPRODUCT(ISNUMBER(C_CKDATE)*ISNUMBER(C_RDATA)),"")</f>
        <v/>
      </c>
      <c r="K27" s="121"/>
      <c r="L27" s="124"/>
      <c r="M27" s="124"/>
      <c r="N27" s="124"/>
      <c r="O27" s="122"/>
    </row>
    <row r="28" spans="1:15" s="233" customFormat="1" ht="63.75" x14ac:dyDescent="0.2">
      <c r="A28" s="24" t="s">
        <v>215</v>
      </c>
      <c r="B28" s="20" t="s">
        <v>534</v>
      </c>
      <c r="C28" s="24">
        <v>2</v>
      </c>
      <c r="D28" s="24" t="s">
        <v>380</v>
      </c>
      <c r="E28" s="117" t="s">
        <v>300</v>
      </c>
      <c r="F28" s="117" t="s">
        <v>668</v>
      </c>
      <c r="G28" s="125"/>
      <c r="H28" s="24"/>
      <c r="I28" s="119"/>
      <c r="J28" s="120" t="str">
        <f>IFERROR(SUMPRODUCT(ISNUMBER(C_CKDATE)*ISNUMBER(C_RDATA),C_RDATA)/SUMPRODUCT(ISNUMBER(C_CKDATE)*ISNUMBER(C_RDATA)),"")</f>
        <v/>
      </c>
      <c r="K28" s="121"/>
      <c r="L28" s="121"/>
      <c r="M28" s="121"/>
      <c r="N28" s="121"/>
      <c r="O28" s="122"/>
    </row>
    <row r="29" spans="1:15" s="234" customFormat="1" ht="51" hidden="1" x14ac:dyDescent="0.2">
      <c r="A29" s="20" t="s">
        <v>215</v>
      </c>
      <c r="B29" s="20" t="s">
        <v>537</v>
      </c>
      <c r="C29" s="24">
        <v>2</v>
      </c>
      <c r="D29" s="24" t="s">
        <v>380</v>
      </c>
      <c r="E29" s="20" t="s">
        <v>300</v>
      </c>
      <c r="F29" s="20" t="s">
        <v>669</v>
      </c>
      <c r="G29" s="20"/>
      <c r="H29" s="20"/>
      <c r="I29" s="21"/>
      <c r="J29" s="120" t="str">
        <f>IFERROR(SUMPRODUCT(ISNUMBER(C_CKDATE)*ISNUMBER(C_RDATA),C_RDATA)/SUMPRODUCT(ISNUMBER(C_CKDATE)*ISNUMBER(C_RDATA)),"")</f>
        <v/>
      </c>
      <c r="K29" s="121"/>
      <c r="L29" s="124"/>
      <c r="M29" s="124"/>
      <c r="N29" s="124"/>
      <c r="O29" s="122"/>
    </row>
    <row r="30" spans="1:15" s="234" customFormat="1" hidden="1" x14ac:dyDescent="0.2">
      <c r="A30" s="20" t="s">
        <v>215</v>
      </c>
      <c r="B30" s="20" t="s">
        <v>538</v>
      </c>
      <c r="C30" s="24">
        <v>2</v>
      </c>
      <c r="D30" s="24" t="s">
        <v>380</v>
      </c>
      <c r="E30" s="20" t="s">
        <v>300</v>
      </c>
      <c r="F30" s="20" t="s">
        <v>670</v>
      </c>
      <c r="G30" s="20"/>
      <c r="H30" s="20"/>
      <c r="I30" s="21"/>
      <c r="J30" s="120" t="str">
        <f>IFERROR(SUMPRODUCT(ISNUMBER(C_CKDATE)*ISNUMBER(C_RDATA),C_RDATA)/SUMPRODUCT(ISNUMBER(C_CKDATE)*ISNUMBER(C_RDATA)),"")</f>
        <v/>
      </c>
      <c r="K30" s="121"/>
      <c r="L30" s="124"/>
      <c r="M30" s="124"/>
      <c r="N30" s="124"/>
      <c r="O30" s="122"/>
    </row>
    <row r="31" spans="1:15" s="233" customFormat="1" ht="51" x14ac:dyDescent="0.2">
      <c r="A31" s="24" t="s">
        <v>216</v>
      </c>
      <c r="B31" s="20" t="s">
        <v>533</v>
      </c>
      <c r="C31" s="24">
        <v>2</v>
      </c>
      <c r="D31" s="24" t="s">
        <v>380</v>
      </c>
      <c r="E31" s="117" t="s">
        <v>300</v>
      </c>
      <c r="F31" s="117" t="s">
        <v>878</v>
      </c>
      <c r="G31" s="24"/>
      <c r="H31" s="24"/>
      <c r="I31" s="119"/>
      <c r="J31" s="120" t="str">
        <f>IFERROR(SUMPRODUCT(ISNUMBER(C_CKDATE)*ISNUMBER(C_RDATA),C_RDATA)/SUMPRODUCT(ISNUMBER(C_CKDATE)*ISNUMBER(C_RDATA)),"")</f>
        <v/>
      </c>
      <c r="K31" s="121"/>
      <c r="L31" s="121"/>
      <c r="M31" s="121"/>
      <c r="N31" s="121"/>
      <c r="O31" s="122"/>
    </row>
    <row r="32" spans="1:15" s="233" customFormat="1" ht="25.5" x14ac:dyDescent="0.2">
      <c r="A32" s="117" t="s">
        <v>217</v>
      </c>
      <c r="B32" s="20" t="s">
        <v>535</v>
      </c>
      <c r="C32" s="24">
        <v>2</v>
      </c>
      <c r="D32" s="24" t="s">
        <v>380</v>
      </c>
      <c r="E32" s="117" t="s">
        <v>282</v>
      </c>
      <c r="F32" s="117" t="s">
        <v>274</v>
      </c>
      <c r="G32" s="235"/>
      <c r="H32" s="24"/>
      <c r="I32" s="119"/>
      <c r="J32" s="120" t="str">
        <f>IFERROR(SUMPRODUCT(ISNUMBER(C_CKDATE)*ISNUMBER(C_RDATA),C_RDATA)/SUMPRODUCT(ISNUMBER(C_CKDATE)*ISNUMBER(C_RDATA)),"")</f>
        <v/>
      </c>
      <c r="K32" s="121"/>
      <c r="L32" s="121"/>
      <c r="M32" s="121"/>
      <c r="N32" s="121"/>
      <c r="O32" s="122"/>
    </row>
    <row r="33" spans="1:15" s="233" customFormat="1" ht="25.5" x14ac:dyDescent="0.2">
      <c r="A33" s="24" t="s">
        <v>218</v>
      </c>
      <c r="B33" s="20" t="s">
        <v>533</v>
      </c>
      <c r="C33" s="24">
        <v>2</v>
      </c>
      <c r="D33" s="24" t="s">
        <v>380</v>
      </c>
      <c r="E33" s="117" t="s">
        <v>282</v>
      </c>
      <c r="F33" s="117" t="s">
        <v>592</v>
      </c>
      <c r="G33" s="24"/>
      <c r="H33" s="24"/>
      <c r="I33" s="127"/>
      <c r="J33" s="120" t="str">
        <f>IFERROR(SUMPRODUCT(ISNUMBER(C_CKDATE)*ISNUMBER(C_RDATA),C_RDATA)/SUMPRODUCT(ISNUMBER(C_CKDATE)*ISNUMBER(C_RDATA)),"")</f>
        <v/>
      </c>
      <c r="K33" s="121"/>
      <c r="L33" s="121"/>
      <c r="M33" s="121"/>
      <c r="N33" s="121"/>
      <c r="O33" s="122"/>
    </row>
    <row r="34" spans="1:15" s="233" customFormat="1" ht="38.25" x14ac:dyDescent="0.2">
      <c r="A34" s="24" t="s">
        <v>219</v>
      </c>
      <c r="B34" s="20" t="s">
        <v>533</v>
      </c>
      <c r="C34" s="24">
        <v>2</v>
      </c>
      <c r="D34" s="24" t="s">
        <v>380</v>
      </c>
      <c r="E34" s="117" t="s">
        <v>364</v>
      </c>
      <c r="F34" s="236" t="s">
        <v>879</v>
      </c>
      <c r="G34" s="24"/>
      <c r="H34" s="24"/>
      <c r="I34" s="119"/>
      <c r="J34" s="120" t="str">
        <f>IFERROR(SUMPRODUCT(ISNUMBER(C_CKDATE)*ISNUMBER(C_RDATA),C_RDATA)/SUMPRODUCT(ISNUMBER(C_CKDATE)*ISNUMBER(C_RDATA)),"")</f>
        <v/>
      </c>
      <c r="K34" s="121"/>
      <c r="L34" s="121"/>
      <c r="M34" s="121"/>
      <c r="N34" s="121"/>
      <c r="O34" s="122"/>
    </row>
    <row r="35" spans="1:15" s="233" customFormat="1" ht="38.25" x14ac:dyDescent="0.2">
      <c r="A35" s="117" t="s">
        <v>220</v>
      </c>
      <c r="B35" s="20" t="s">
        <v>534</v>
      </c>
      <c r="C35" s="24">
        <v>2</v>
      </c>
      <c r="D35" s="24" t="s">
        <v>380</v>
      </c>
      <c r="E35" s="117" t="s">
        <v>281</v>
      </c>
      <c r="F35" s="117" t="s">
        <v>880</v>
      </c>
      <c r="G35" s="117"/>
      <c r="H35" s="24"/>
      <c r="I35" s="119"/>
      <c r="J35" s="120" t="str">
        <f>IFERROR(SUMPRODUCT(ISNUMBER(C_CKDATE)*ISNUMBER(C_RDATA),C_RDATA)/SUMPRODUCT(ISNUMBER(C_CKDATE)*ISNUMBER(C_RDATA)),"")</f>
        <v/>
      </c>
      <c r="K35" s="121"/>
      <c r="L35" s="121"/>
      <c r="M35" s="121"/>
      <c r="N35" s="121"/>
      <c r="O35" s="122"/>
    </row>
    <row r="36" spans="1:15" s="233" customFormat="1" x14ac:dyDescent="0.2">
      <c r="A36" s="24" t="s">
        <v>221</v>
      </c>
      <c r="B36" s="20" t="s">
        <v>534</v>
      </c>
      <c r="C36" s="24">
        <v>2</v>
      </c>
      <c r="D36" s="24" t="s">
        <v>380</v>
      </c>
      <c r="E36" s="117" t="s">
        <v>281</v>
      </c>
      <c r="F36" s="128" t="s">
        <v>593</v>
      </c>
      <c r="G36" s="117"/>
      <c r="H36" s="24"/>
      <c r="I36" s="119"/>
      <c r="J36" s="121"/>
      <c r="K36" s="121"/>
      <c r="L36" s="121"/>
      <c r="M36" s="121"/>
      <c r="N36" s="121"/>
      <c r="O36" s="122"/>
    </row>
    <row r="37" spans="1:15" s="233" customFormat="1" x14ac:dyDescent="0.2">
      <c r="A37" s="24" t="s">
        <v>222</v>
      </c>
      <c r="B37" s="20" t="s">
        <v>534</v>
      </c>
      <c r="C37" s="24">
        <v>2</v>
      </c>
      <c r="D37" s="24" t="s">
        <v>380</v>
      </c>
      <c r="E37" s="117" t="s">
        <v>281</v>
      </c>
      <c r="F37" s="241" t="s">
        <v>54</v>
      </c>
      <c r="G37" s="117"/>
      <c r="H37" s="24"/>
      <c r="I37" s="119"/>
      <c r="J37" s="120" t="str">
        <f>IFERROR(SUMPRODUCT(ISNUMBER(C_CKDATE)*ISNUMBER(C_RDATA),C_RDATA)/SUMPRODUCT(ISNUMBER(C_CKDATE)*ISNUMBER(C_RDATA)),"")</f>
        <v/>
      </c>
      <c r="K37" s="121"/>
      <c r="L37" s="121"/>
      <c r="M37" s="121"/>
      <c r="N37" s="121"/>
      <c r="O37" s="122"/>
    </row>
    <row r="38" spans="1:15" s="233" customFormat="1" x14ac:dyDescent="0.2">
      <c r="A38" s="24" t="s">
        <v>223</v>
      </c>
      <c r="B38" s="20" t="s">
        <v>534</v>
      </c>
      <c r="C38" s="24">
        <v>2</v>
      </c>
      <c r="D38" s="24" t="s">
        <v>380</v>
      </c>
      <c r="E38" s="117" t="s">
        <v>281</v>
      </c>
      <c r="F38" s="241" t="s">
        <v>881</v>
      </c>
      <c r="G38" s="117"/>
      <c r="H38" s="24"/>
      <c r="I38" s="119"/>
      <c r="J38" s="120" t="str">
        <f>IFERROR(SUMPRODUCT(ISNUMBER(C_CKDATE)*ISNUMBER(C_RDATA),C_RDATA)/SUMPRODUCT(ISNUMBER(C_CKDATE)*ISNUMBER(C_RDATA)),"")</f>
        <v/>
      </c>
      <c r="K38" s="121"/>
      <c r="L38" s="121"/>
      <c r="M38" s="121"/>
      <c r="N38" s="121"/>
      <c r="O38" s="122"/>
    </row>
    <row r="39" spans="1:15" s="233" customFormat="1" x14ac:dyDescent="0.2">
      <c r="A39" s="24" t="s">
        <v>224</v>
      </c>
      <c r="B39" s="20" t="s">
        <v>534</v>
      </c>
      <c r="C39" s="24">
        <v>2</v>
      </c>
      <c r="D39" s="24" t="s">
        <v>380</v>
      </c>
      <c r="E39" s="117" t="s">
        <v>281</v>
      </c>
      <c r="F39" s="241" t="s">
        <v>615</v>
      </c>
      <c r="G39" s="24"/>
      <c r="H39" s="24"/>
      <c r="I39" s="119"/>
      <c r="J39" s="120" t="str">
        <f>IFERROR(SUMPRODUCT(ISNUMBER(C_CKDATE)*ISNUMBER(C_RDATA),C_RDATA)/SUMPRODUCT(ISNUMBER(C_CKDATE)*ISNUMBER(C_RDATA)),"")</f>
        <v/>
      </c>
      <c r="K39" s="121"/>
      <c r="L39" s="121"/>
      <c r="M39" s="121"/>
      <c r="N39" s="121"/>
      <c r="O39" s="122"/>
    </row>
    <row r="40" spans="1:15" s="233" customFormat="1" x14ac:dyDescent="0.2">
      <c r="A40" s="24" t="s">
        <v>225</v>
      </c>
      <c r="B40" s="20" t="s">
        <v>534</v>
      </c>
      <c r="C40" s="24">
        <v>2</v>
      </c>
      <c r="D40" s="24" t="s">
        <v>380</v>
      </c>
      <c r="E40" s="117" t="s">
        <v>281</v>
      </c>
      <c r="F40" s="241" t="s">
        <v>55</v>
      </c>
      <c r="G40" s="117"/>
      <c r="H40" s="24"/>
      <c r="I40" s="119"/>
      <c r="J40" s="120" t="str">
        <f>IFERROR(SUMPRODUCT(ISNUMBER(C_CKDATE)*ISNUMBER(C_RDATA),C_RDATA)/SUMPRODUCT(ISNUMBER(C_CKDATE)*ISNUMBER(C_RDATA)),"")</f>
        <v/>
      </c>
      <c r="K40" s="121"/>
      <c r="L40" s="121"/>
      <c r="M40" s="121"/>
      <c r="N40" s="121"/>
      <c r="O40" s="122"/>
    </row>
    <row r="41" spans="1:15" s="233" customFormat="1" x14ac:dyDescent="0.2">
      <c r="A41" s="24" t="s">
        <v>226</v>
      </c>
      <c r="B41" s="20" t="s">
        <v>534</v>
      </c>
      <c r="C41" s="24">
        <v>2</v>
      </c>
      <c r="D41" s="24" t="s">
        <v>380</v>
      </c>
      <c r="E41" s="117" t="s">
        <v>281</v>
      </c>
      <c r="F41" s="241" t="s">
        <v>56</v>
      </c>
      <c r="G41" s="24"/>
      <c r="H41" s="24"/>
      <c r="I41" s="119"/>
      <c r="J41" s="120" t="str">
        <f>IFERROR(SUMPRODUCT(ISNUMBER(C_CKDATE)*ISNUMBER(C_RDATA),C_RDATA)/SUMPRODUCT(ISNUMBER(C_CKDATE)*ISNUMBER(C_RDATA)),"")</f>
        <v/>
      </c>
      <c r="K41" s="121"/>
      <c r="L41" s="121"/>
      <c r="M41" s="121"/>
      <c r="N41" s="121"/>
      <c r="O41" s="122"/>
    </row>
    <row r="42" spans="1:15" s="233" customFormat="1" ht="25.5" x14ac:dyDescent="0.2">
      <c r="A42" s="24" t="s">
        <v>227</v>
      </c>
      <c r="B42" s="20" t="s">
        <v>534</v>
      </c>
      <c r="C42" s="24">
        <v>2</v>
      </c>
      <c r="D42" s="24" t="s">
        <v>380</v>
      </c>
      <c r="E42" s="117" t="s">
        <v>281</v>
      </c>
      <c r="F42" s="117" t="s">
        <v>275</v>
      </c>
      <c r="G42" s="117"/>
      <c r="H42" s="24"/>
      <c r="I42" s="119"/>
      <c r="J42" s="120" t="str">
        <f>IFERROR(SUMPRODUCT(ISNUMBER(C_CKDATE)*ISNUMBER(C_RDATA),C_RDATA)/SUMPRODUCT(ISNUMBER(C_CKDATE)*ISNUMBER(C_RDATA)),"")</f>
        <v/>
      </c>
      <c r="K42" s="121"/>
      <c r="L42" s="121"/>
      <c r="M42" s="121"/>
      <c r="N42" s="121"/>
      <c r="O42" s="122"/>
    </row>
    <row r="43" spans="1:15" s="233" customFormat="1" x14ac:dyDescent="0.2">
      <c r="A43" s="24" t="s">
        <v>228</v>
      </c>
      <c r="B43" s="20" t="s">
        <v>534</v>
      </c>
      <c r="C43" s="24">
        <v>2</v>
      </c>
      <c r="D43" s="24" t="s">
        <v>380</v>
      </c>
      <c r="E43" s="117" t="s">
        <v>281</v>
      </c>
      <c r="F43" s="117" t="s">
        <v>577</v>
      </c>
      <c r="G43" s="117"/>
      <c r="H43" s="24"/>
      <c r="I43" s="119"/>
      <c r="J43" s="120" t="str">
        <f>IFERROR(SUMPRODUCT(ISNUMBER(C_CKDATE)*ISNUMBER(C_RDATA),C_RDATA)/SUMPRODUCT(ISNUMBER(C_CKDATE)*ISNUMBER(C_RDATA)),"")</f>
        <v/>
      </c>
      <c r="K43" s="121"/>
      <c r="L43" s="121"/>
      <c r="M43" s="121"/>
      <c r="N43" s="121"/>
      <c r="O43" s="122"/>
    </row>
    <row r="44" spans="1:15" s="233" customFormat="1" ht="51" x14ac:dyDescent="0.2">
      <c r="A44" s="24" t="s">
        <v>229</v>
      </c>
      <c r="B44" s="20" t="s">
        <v>534</v>
      </c>
      <c r="C44" s="24">
        <v>2</v>
      </c>
      <c r="D44" s="24" t="s">
        <v>380</v>
      </c>
      <c r="E44" s="117" t="s">
        <v>281</v>
      </c>
      <c r="F44" s="117" t="s">
        <v>52</v>
      </c>
      <c r="G44" s="117"/>
      <c r="H44" s="24"/>
      <c r="I44" s="119"/>
      <c r="J44" s="120" t="str">
        <f>IFERROR(SUMPRODUCT(ISNUMBER(C_CKDATE)*ISNUMBER(C_RDATA),C_RDATA)/SUMPRODUCT(ISNUMBER(C_CKDATE)*ISNUMBER(C_RDATA)),"")</f>
        <v/>
      </c>
      <c r="K44" s="121"/>
      <c r="L44" s="121"/>
      <c r="M44" s="121"/>
      <c r="N44" s="121"/>
      <c r="O44" s="122"/>
    </row>
    <row r="45" spans="1:15" s="233" customFormat="1" ht="38.25" x14ac:dyDescent="0.2">
      <c r="A45" s="117" t="s">
        <v>230</v>
      </c>
      <c r="B45" s="20" t="s">
        <v>534</v>
      </c>
      <c r="C45" s="24">
        <v>2</v>
      </c>
      <c r="D45" s="24" t="s">
        <v>380</v>
      </c>
      <c r="E45" s="117" t="s">
        <v>281</v>
      </c>
      <c r="F45" s="117" t="s">
        <v>882</v>
      </c>
      <c r="G45" s="118"/>
      <c r="H45" s="24"/>
      <c r="I45" s="119"/>
      <c r="J45" s="120" t="str">
        <f>IFERROR(SUMPRODUCT(ISNUMBER(C_CKDATE)*ISNUMBER(C_RDATA),C_RDATA)/SUMPRODUCT(ISNUMBER(C_CKDATE)*ISNUMBER(C_RDATA)),"")</f>
        <v/>
      </c>
      <c r="K45" s="121"/>
      <c r="L45" s="121"/>
      <c r="M45" s="121"/>
      <c r="N45" s="121"/>
      <c r="O45" s="122"/>
    </row>
    <row r="46" spans="1:15" s="233" customFormat="1" ht="38.25" x14ac:dyDescent="0.2">
      <c r="A46" s="117" t="s">
        <v>231</v>
      </c>
      <c r="B46" s="20" t="s">
        <v>534</v>
      </c>
      <c r="C46" s="24">
        <v>2</v>
      </c>
      <c r="D46" s="24" t="s">
        <v>380</v>
      </c>
      <c r="E46" s="117" t="s">
        <v>281</v>
      </c>
      <c r="F46" s="117" t="s">
        <v>883</v>
      </c>
      <c r="G46" s="118"/>
      <c r="H46" s="24"/>
      <c r="I46" s="119"/>
      <c r="J46" s="120" t="str">
        <f>IFERROR(SUMPRODUCT(ISNUMBER(C_CKDATE)*ISNUMBER(C_RDATA),C_RDATA)/SUMPRODUCT(ISNUMBER(C_CKDATE)*ISNUMBER(C_RDATA)),"")</f>
        <v/>
      </c>
      <c r="K46" s="121"/>
      <c r="L46" s="121"/>
      <c r="M46" s="121"/>
      <c r="N46" s="121"/>
      <c r="O46" s="122"/>
    </row>
    <row r="47" spans="1:15" s="233" customFormat="1" ht="38.25" x14ac:dyDescent="0.2">
      <c r="A47" s="24" t="s">
        <v>232</v>
      </c>
      <c r="B47" s="20" t="s">
        <v>535</v>
      </c>
      <c r="C47" s="24">
        <v>2</v>
      </c>
      <c r="D47" s="24" t="s">
        <v>380</v>
      </c>
      <c r="E47" s="117" t="s">
        <v>281</v>
      </c>
      <c r="F47" s="117" t="s">
        <v>884</v>
      </c>
      <c r="G47" s="118"/>
      <c r="H47" s="24"/>
      <c r="I47" s="119"/>
      <c r="J47" s="120" t="str">
        <f>IFERROR(SUMPRODUCT(ISNUMBER(C_CKDATE)*ISNUMBER(C_RDATA),C_RDATA)/SUMPRODUCT(ISNUMBER(C_CKDATE)*ISNUMBER(C_RDATA)),"")</f>
        <v/>
      </c>
      <c r="K47" s="121"/>
      <c r="L47" s="121"/>
      <c r="M47" s="121"/>
      <c r="N47" s="121"/>
      <c r="O47" s="122"/>
    </row>
    <row r="48" spans="1:15" s="233" customFormat="1" ht="76.5" x14ac:dyDescent="0.2">
      <c r="A48" s="117" t="s">
        <v>233</v>
      </c>
      <c r="B48" s="20" t="s">
        <v>533</v>
      </c>
      <c r="C48" s="24">
        <v>3</v>
      </c>
      <c r="D48" s="24" t="s">
        <v>380</v>
      </c>
      <c r="E48" s="117" t="s">
        <v>22</v>
      </c>
      <c r="F48" s="117" t="s">
        <v>885</v>
      </c>
      <c r="G48" s="118"/>
      <c r="H48" s="24"/>
      <c r="I48" s="119"/>
      <c r="J48" s="120" t="str">
        <f>IFERROR(SUMPRODUCT(ISNUMBER(C_CKDATE)*ISNUMBER(C_RDATA),C_RDATA)/SUMPRODUCT(ISNUMBER(C_CKDATE)*ISNUMBER(C_RDATA)),"")</f>
        <v/>
      </c>
      <c r="K48" s="121"/>
      <c r="L48" s="121"/>
      <c r="M48" s="121"/>
      <c r="N48" s="121"/>
      <c r="O48" s="122"/>
    </row>
    <row r="49" spans="1:15" s="233" customFormat="1" ht="51" x14ac:dyDescent="0.2">
      <c r="A49" s="117" t="s">
        <v>234</v>
      </c>
      <c r="B49" s="20" t="s">
        <v>533</v>
      </c>
      <c r="C49" s="24">
        <v>2</v>
      </c>
      <c r="D49" s="24" t="s">
        <v>380</v>
      </c>
      <c r="E49" s="117" t="s">
        <v>20</v>
      </c>
      <c r="F49" s="117" t="s">
        <v>594</v>
      </c>
      <c r="G49" s="118"/>
      <c r="H49" s="24"/>
      <c r="I49" s="119"/>
      <c r="J49" s="120" t="str">
        <f>IFERROR(SUMPRODUCT(ISNUMBER(C_CKDATE)*ISNUMBER(C_RDATA),C_RDATA)/SUMPRODUCT(ISNUMBER(C_CKDATE)*ISNUMBER(C_RDATA)),"")</f>
        <v/>
      </c>
      <c r="K49" s="121"/>
      <c r="L49" s="121"/>
      <c r="M49" s="121"/>
      <c r="N49" s="121"/>
      <c r="O49" s="122"/>
    </row>
    <row r="50" spans="1:15" s="233" customFormat="1" ht="76.5" x14ac:dyDescent="0.2">
      <c r="A50" s="24" t="s">
        <v>235</v>
      </c>
      <c r="B50" s="20" t="s">
        <v>533</v>
      </c>
      <c r="C50" s="24">
        <v>3</v>
      </c>
      <c r="D50" s="24" t="s">
        <v>647</v>
      </c>
      <c r="E50" s="117" t="s">
        <v>23</v>
      </c>
      <c r="F50" s="117" t="s">
        <v>886</v>
      </c>
      <c r="G50" s="117" t="s">
        <v>53</v>
      </c>
      <c r="H50" s="24"/>
      <c r="I50" s="119"/>
      <c r="J50" s="120" t="str">
        <f>IFERROR(SUMPRODUCT(ISNUMBER(C_CKDATE)*ISNUMBER(C_RDATA),C_RDATA)/SUMPRODUCT(ISNUMBER(C_CKDATE)*ISNUMBER(C_RDATA)),"")</f>
        <v/>
      </c>
      <c r="K50" s="121"/>
      <c r="L50" s="121"/>
      <c r="M50" s="121"/>
      <c r="N50" s="121"/>
      <c r="O50" s="122"/>
    </row>
    <row r="51" spans="1:15" s="233" customFormat="1" ht="51" x14ac:dyDescent="0.2">
      <c r="A51" s="24" t="s">
        <v>236</v>
      </c>
      <c r="B51" s="20" t="s">
        <v>533</v>
      </c>
      <c r="C51" s="24">
        <v>3</v>
      </c>
      <c r="D51" s="24" t="s">
        <v>647</v>
      </c>
      <c r="E51" s="117" t="s">
        <v>24</v>
      </c>
      <c r="F51" s="117" t="s">
        <v>887</v>
      </c>
      <c r="G51" s="24"/>
      <c r="H51" s="24"/>
      <c r="I51" s="119"/>
      <c r="J51" s="120" t="str">
        <f>IFERROR(SUMPRODUCT(ISNUMBER(C_CKDATE)*ISNUMBER(C_RDATA),C_RDATA)/SUMPRODUCT(ISNUMBER(C_CKDATE)*ISNUMBER(C_RDATA)),"")</f>
        <v/>
      </c>
      <c r="K51" s="121"/>
      <c r="L51" s="121"/>
      <c r="M51" s="121"/>
      <c r="N51" s="121"/>
      <c r="O51" s="122"/>
    </row>
    <row r="52" spans="1:15" s="233" customFormat="1" ht="25.5" x14ac:dyDescent="0.2">
      <c r="A52" s="117" t="s">
        <v>237</v>
      </c>
      <c r="B52" s="20" t="s">
        <v>533</v>
      </c>
      <c r="C52" s="24">
        <v>2</v>
      </c>
      <c r="D52" s="24" t="s">
        <v>380</v>
      </c>
      <c r="E52" s="117" t="s">
        <v>379</v>
      </c>
      <c r="F52" s="117" t="s">
        <v>888</v>
      </c>
      <c r="G52" s="117"/>
      <c r="H52" s="24"/>
      <c r="I52" s="119"/>
      <c r="J52" s="120" t="str">
        <f>IFERROR(SUMPRODUCT(ISNUMBER(C_CKDATE)*ISNUMBER(C_RDATA),C_RDATA)/SUMPRODUCT(ISNUMBER(C_CKDATE)*ISNUMBER(C_RDATA)),"")</f>
        <v/>
      </c>
      <c r="K52" s="121"/>
      <c r="L52" s="121"/>
      <c r="M52" s="121"/>
      <c r="N52" s="121"/>
      <c r="O52" s="122"/>
    </row>
    <row r="53" spans="1:15" s="237" customFormat="1" ht="63.75" x14ac:dyDescent="0.2">
      <c r="A53" s="24" t="s">
        <v>903</v>
      </c>
      <c r="B53" s="24" t="s">
        <v>533</v>
      </c>
      <c r="C53" s="24">
        <v>3</v>
      </c>
      <c r="D53" s="24" t="s">
        <v>648</v>
      </c>
      <c r="E53" s="24"/>
      <c r="F53" s="24" t="s">
        <v>953</v>
      </c>
      <c r="G53" s="126" t="s">
        <v>718</v>
      </c>
      <c r="H53" s="24"/>
      <c r="I53" s="119"/>
      <c r="J53" s="120" t="str">
        <f>IFERROR(SUMPRODUCT(ISNUMBER(C_CKDATE)*ISNUMBER(C_RDATA),C_RDATA)/SUMPRODUCT(ISNUMBER(C_CKDATE)*ISNUMBER(C_RDATA)),"")</f>
        <v/>
      </c>
      <c r="K53" s="132"/>
      <c r="L53" s="132"/>
      <c r="M53" s="132"/>
      <c r="N53" s="132"/>
      <c r="O53" s="122"/>
    </row>
    <row r="54" spans="1:15" s="233" customFormat="1" ht="25.5" x14ac:dyDescent="0.2">
      <c r="A54" s="24" t="s">
        <v>238</v>
      </c>
      <c r="B54" s="20" t="s">
        <v>533</v>
      </c>
      <c r="C54" s="24">
        <v>2</v>
      </c>
      <c r="D54" s="24" t="s">
        <v>285</v>
      </c>
      <c r="E54" s="117" t="s">
        <v>290</v>
      </c>
      <c r="F54" s="117" t="s">
        <v>276</v>
      </c>
      <c r="G54" s="24"/>
      <c r="H54" s="24"/>
      <c r="I54" s="119"/>
      <c r="J54" s="120" t="str">
        <f>IFERROR(SUMPRODUCT(ISNUMBER(C_CKDATE)*ISNUMBER(C_RDATA),C_RDATA)/SUMPRODUCT(ISNUMBER(C_CKDATE)*ISNUMBER(C_RDATA)),"")</f>
        <v/>
      </c>
      <c r="K54" s="121"/>
      <c r="L54" s="121"/>
      <c r="M54" s="121"/>
      <c r="N54" s="121"/>
      <c r="O54" s="122"/>
    </row>
    <row r="55" spans="1:15" s="233" customFormat="1" ht="51" x14ac:dyDescent="0.2">
      <c r="A55" s="24" t="s">
        <v>239</v>
      </c>
      <c r="B55" s="20" t="s">
        <v>535</v>
      </c>
      <c r="C55" s="24">
        <v>2</v>
      </c>
      <c r="D55" s="24" t="s">
        <v>650</v>
      </c>
      <c r="E55" s="117" t="s">
        <v>290</v>
      </c>
      <c r="F55" s="117" t="s">
        <v>595</v>
      </c>
      <c r="G55" s="24"/>
      <c r="H55" s="24"/>
      <c r="I55" s="119"/>
      <c r="J55" s="120" t="str">
        <f>IFERROR(SUMPRODUCT(ISNUMBER(C_CKDATE)*ISNUMBER(C_RDATA),C_RDATA)/SUMPRODUCT(ISNUMBER(C_CKDATE)*ISNUMBER(C_RDATA)),"")</f>
        <v/>
      </c>
      <c r="K55" s="121"/>
      <c r="L55" s="121"/>
      <c r="M55" s="121"/>
      <c r="N55" s="121"/>
      <c r="O55" s="122"/>
    </row>
    <row r="56" spans="1:15" s="233" customFormat="1" ht="51" hidden="1" x14ac:dyDescent="0.2">
      <c r="A56" s="24" t="s">
        <v>239</v>
      </c>
      <c r="B56" s="20" t="s">
        <v>538</v>
      </c>
      <c r="C56" s="24">
        <v>2</v>
      </c>
      <c r="D56" s="24" t="s">
        <v>650</v>
      </c>
      <c r="E56" s="117" t="s">
        <v>290</v>
      </c>
      <c r="F56" s="117" t="s">
        <v>889</v>
      </c>
      <c r="G56" s="24"/>
      <c r="H56" s="24"/>
      <c r="I56" s="119"/>
      <c r="J56" s="120" t="str">
        <f>IFERROR(SUMPRODUCT(ISNUMBER(C_CKDATE)*ISNUMBER(C_RDATA),C_RDATA)/SUMPRODUCT(ISNUMBER(C_CKDATE)*ISNUMBER(C_RDATA)),"")</f>
        <v/>
      </c>
      <c r="K56" s="121"/>
      <c r="L56" s="121"/>
      <c r="M56" s="121"/>
      <c r="N56" s="121"/>
      <c r="O56" s="122"/>
    </row>
    <row r="57" spans="1:15" s="233" customFormat="1" ht="38.25" x14ac:dyDescent="0.2">
      <c r="A57" s="117" t="s">
        <v>240</v>
      </c>
      <c r="B57" s="20" t="s">
        <v>533</v>
      </c>
      <c r="C57" s="24">
        <v>3</v>
      </c>
      <c r="D57" s="24" t="s">
        <v>647</v>
      </c>
      <c r="E57" s="117" t="s">
        <v>290</v>
      </c>
      <c r="F57" s="117" t="s">
        <v>890</v>
      </c>
      <c r="G57" s="117"/>
      <c r="H57" s="24"/>
      <c r="I57" s="119"/>
      <c r="J57" s="120" t="str">
        <f>IFERROR(SUMPRODUCT(ISNUMBER(C_CKDATE)*ISNUMBER(C_RDATA),C_RDATA)/SUMPRODUCT(ISNUMBER(C_CKDATE)*ISNUMBER(C_RDATA)),"")</f>
        <v/>
      </c>
      <c r="K57" s="121"/>
      <c r="L57" s="121"/>
      <c r="M57" s="121"/>
      <c r="N57" s="121"/>
      <c r="O57" s="122"/>
    </row>
    <row r="58" spans="1:15" s="234" customFormat="1" ht="38.25" x14ac:dyDescent="0.2">
      <c r="A58" s="117" t="s">
        <v>241</v>
      </c>
      <c r="B58" s="20" t="s">
        <v>533</v>
      </c>
      <c r="C58" s="24">
        <v>3</v>
      </c>
      <c r="D58" s="24" t="s">
        <v>647</v>
      </c>
      <c r="E58" s="117" t="s">
        <v>290</v>
      </c>
      <c r="F58" s="117" t="s">
        <v>891</v>
      </c>
      <c r="G58" s="117"/>
      <c r="H58" s="24"/>
      <c r="I58" s="119"/>
      <c r="J58" s="120" t="str">
        <f>IFERROR(SUMPRODUCT(ISNUMBER(C_CKDATE)*ISNUMBER(C_RDATA),C_RDATA)/SUMPRODUCT(ISNUMBER(C_CKDATE)*ISNUMBER(C_RDATA)),"")</f>
        <v/>
      </c>
      <c r="K58" s="121"/>
      <c r="L58" s="124"/>
      <c r="M58" s="124"/>
      <c r="N58" s="124"/>
      <c r="O58" s="122"/>
    </row>
    <row r="59" spans="1:15" s="234" customFormat="1" ht="51" x14ac:dyDescent="0.2">
      <c r="A59" s="20" t="s">
        <v>530</v>
      </c>
      <c r="B59" s="20" t="s">
        <v>533</v>
      </c>
      <c r="C59" s="24">
        <v>3</v>
      </c>
      <c r="D59" s="24" t="s">
        <v>647</v>
      </c>
      <c r="E59" s="20" t="s">
        <v>290</v>
      </c>
      <c r="F59" s="20" t="s">
        <v>892</v>
      </c>
      <c r="G59" s="20" t="s">
        <v>495</v>
      </c>
      <c r="H59" s="20"/>
      <c r="I59" s="21"/>
      <c r="J59" s="120" t="str">
        <f>IFERROR(SUMPRODUCT(ISNUMBER(C_CKDATE)*ISNUMBER(C_RDATA),C_RDATA)/SUMPRODUCT(ISNUMBER(C_CKDATE)*ISNUMBER(C_RDATA)),"")</f>
        <v/>
      </c>
      <c r="K59" s="121"/>
      <c r="L59" s="124"/>
      <c r="M59" s="124"/>
      <c r="N59" s="124"/>
      <c r="O59" s="122"/>
    </row>
    <row r="60" spans="1:15" s="234" customFormat="1" ht="76.5" x14ac:dyDescent="0.2">
      <c r="A60" s="20" t="s">
        <v>531</v>
      </c>
      <c r="B60" s="20" t="s">
        <v>533</v>
      </c>
      <c r="C60" s="24">
        <v>3</v>
      </c>
      <c r="D60" s="24" t="s">
        <v>647</v>
      </c>
      <c r="E60" s="20" t="s">
        <v>290</v>
      </c>
      <c r="F60" s="20" t="s">
        <v>671</v>
      </c>
      <c r="G60" s="20" t="s">
        <v>672</v>
      </c>
      <c r="H60" s="20"/>
      <c r="I60" s="21"/>
      <c r="J60" s="120" t="str">
        <f>IFERROR(SUMPRODUCT(ISNUMBER(C_CKDATE)*ISNUMBER(C_RDATA),C_RDATA)/SUMPRODUCT(ISNUMBER(C_CKDATE)*ISNUMBER(C_RDATA)),"")</f>
        <v/>
      </c>
      <c r="K60" s="121"/>
      <c r="L60" s="124"/>
      <c r="M60" s="124"/>
      <c r="N60" s="124"/>
      <c r="O60" s="122"/>
    </row>
    <row r="61" spans="1:15" s="237" customFormat="1" ht="25.5" x14ac:dyDescent="0.2">
      <c r="A61" s="259" t="s">
        <v>242</v>
      </c>
      <c r="B61" s="259" t="s">
        <v>533</v>
      </c>
      <c r="C61" s="259">
        <v>2</v>
      </c>
      <c r="D61" s="259" t="s">
        <v>650</v>
      </c>
      <c r="E61" s="259"/>
      <c r="F61" s="259" t="s">
        <v>893</v>
      </c>
      <c r="G61" s="259"/>
      <c r="H61" s="259"/>
      <c r="I61" s="260"/>
      <c r="J61" s="257" t="str">
        <f>IFERROR(AVERAGE(K61:O61),"")</f>
        <v/>
      </c>
      <c r="K61" s="258"/>
      <c r="L61" s="258"/>
      <c r="M61" s="258"/>
      <c r="N61" s="258"/>
      <c r="O61" s="122"/>
    </row>
    <row r="62" spans="1:15" s="237" customFormat="1" ht="25.5" x14ac:dyDescent="0.2">
      <c r="A62" s="259" t="s">
        <v>243</v>
      </c>
      <c r="B62" s="259" t="s">
        <v>533</v>
      </c>
      <c r="C62" s="259">
        <v>2</v>
      </c>
      <c r="D62" s="259" t="s">
        <v>650</v>
      </c>
      <c r="E62" s="259"/>
      <c r="F62" s="259" t="s">
        <v>894</v>
      </c>
      <c r="G62" s="259"/>
      <c r="H62" s="259"/>
      <c r="I62" s="260"/>
      <c r="J62" s="257" t="str">
        <f t="shared" ref="J62:J72" si="0">IFERROR(AVERAGE(K62:O62),"")</f>
        <v/>
      </c>
      <c r="K62" s="258"/>
      <c r="L62" s="258"/>
      <c r="M62" s="258"/>
      <c r="N62" s="258"/>
      <c r="O62" s="122"/>
    </row>
    <row r="63" spans="1:15" s="237" customFormat="1" ht="25.5" x14ac:dyDescent="0.2">
      <c r="A63" s="259" t="s">
        <v>244</v>
      </c>
      <c r="B63" s="259" t="s">
        <v>533</v>
      </c>
      <c r="C63" s="259">
        <v>2</v>
      </c>
      <c r="D63" s="259" t="s">
        <v>650</v>
      </c>
      <c r="E63" s="259"/>
      <c r="F63" s="261" t="s">
        <v>25</v>
      </c>
      <c r="G63" s="259" t="s">
        <v>26</v>
      </c>
      <c r="H63" s="259"/>
      <c r="I63" s="260"/>
      <c r="J63" s="257" t="str">
        <f t="shared" si="0"/>
        <v/>
      </c>
      <c r="K63" s="258"/>
      <c r="L63" s="258"/>
      <c r="M63" s="258"/>
      <c r="N63" s="258"/>
      <c r="O63" s="122"/>
    </row>
    <row r="64" spans="1:15" s="237" customFormat="1" x14ac:dyDescent="0.2">
      <c r="A64" s="259" t="s">
        <v>245</v>
      </c>
      <c r="B64" s="259" t="s">
        <v>533</v>
      </c>
      <c r="C64" s="259">
        <v>2</v>
      </c>
      <c r="D64" s="259" t="s">
        <v>650</v>
      </c>
      <c r="E64" s="259"/>
      <c r="F64" s="261" t="s">
        <v>27</v>
      </c>
      <c r="G64" s="259"/>
      <c r="H64" s="259"/>
      <c r="I64" s="260"/>
      <c r="J64" s="257" t="str">
        <f t="shared" si="0"/>
        <v/>
      </c>
      <c r="K64" s="258"/>
      <c r="L64" s="258"/>
      <c r="M64" s="258"/>
      <c r="N64" s="258"/>
      <c r="O64" s="122"/>
    </row>
    <row r="65" spans="1:15" s="237" customFormat="1" x14ac:dyDescent="0.2">
      <c r="A65" s="259" t="s">
        <v>246</v>
      </c>
      <c r="B65" s="259" t="s">
        <v>533</v>
      </c>
      <c r="C65" s="259">
        <v>2</v>
      </c>
      <c r="D65" s="259" t="s">
        <v>650</v>
      </c>
      <c r="E65" s="259"/>
      <c r="F65" s="261" t="s">
        <v>28</v>
      </c>
      <c r="G65" s="259"/>
      <c r="H65" s="259"/>
      <c r="I65" s="260"/>
      <c r="J65" s="257" t="str">
        <f t="shared" si="0"/>
        <v/>
      </c>
      <c r="K65" s="258"/>
      <c r="L65" s="258"/>
      <c r="M65" s="258"/>
      <c r="N65" s="258"/>
      <c r="O65" s="122"/>
    </row>
    <row r="66" spans="1:15" s="237" customFormat="1" x14ac:dyDescent="0.2">
      <c r="A66" s="259" t="s">
        <v>247</v>
      </c>
      <c r="B66" s="259" t="s">
        <v>533</v>
      </c>
      <c r="C66" s="259">
        <v>2</v>
      </c>
      <c r="D66" s="259" t="s">
        <v>650</v>
      </c>
      <c r="E66" s="259"/>
      <c r="F66" s="261" t="s">
        <v>596</v>
      </c>
      <c r="G66" s="259"/>
      <c r="H66" s="259"/>
      <c r="I66" s="260"/>
      <c r="J66" s="257" t="str">
        <f t="shared" si="0"/>
        <v/>
      </c>
      <c r="K66" s="258"/>
      <c r="L66" s="258"/>
      <c r="M66" s="258"/>
      <c r="N66" s="258"/>
      <c r="O66" s="122"/>
    </row>
    <row r="67" spans="1:15" s="237" customFormat="1" x14ac:dyDescent="0.2">
      <c r="A67" s="259" t="s">
        <v>29</v>
      </c>
      <c r="B67" s="259" t="s">
        <v>533</v>
      </c>
      <c r="C67" s="259">
        <v>2</v>
      </c>
      <c r="D67" s="259" t="s">
        <v>650</v>
      </c>
      <c r="E67" s="259"/>
      <c r="F67" s="261" t="s">
        <v>30</v>
      </c>
      <c r="G67" s="259"/>
      <c r="H67" s="259"/>
      <c r="I67" s="260"/>
      <c r="J67" s="257" t="str">
        <f t="shared" si="0"/>
        <v/>
      </c>
      <c r="K67" s="258"/>
      <c r="L67" s="258"/>
      <c r="M67" s="258"/>
      <c r="N67" s="258"/>
      <c r="O67" s="122"/>
    </row>
    <row r="68" spans="1:15" s="237" customFormat="1" x14ac:dyDescent="0.2">
      <c r="A68" s="259" t="s">
        <v>248</v>
      </c>
      <c r="B68" s="259" t="s">
        <v>533</v>
      </c>
      <c r="C68" s="259">
        <v>2</v>
      </c>
      <c r="D68" s="259" t="s">
        <v>650</v>
      </c>
      <c r="E68" s="259"/>
      <c r="F68" s="261" t="s">
        <v>597</v>
      </c>
      <c r="G68" s="259"/>
      <c r="H68" s="259"/>
      <c r="I68" s="260"/>
      <c r="J68" s="257" t="str">
        <f t="shared" si="0"/>
        <v/>
      </c>
      <c r="K68" s="258"/>
      <c r="L68" s="258"/>
      <c r="M68" s="258"/>
      <c r="N68" s="258"/>
      <c r="O68" s="122"/>
    </row>
    <row r="69" spans="1:15" s="237" customFormat="1" x14ac:dyDescent="0.2">
      <c r="A69" s="259" t="s">
        <v>249</v>
      </c>
      <c r="B69" s="259" t="s">
        <v>533</v>
      </c>
      <c r="C69" s="259">
        <v>2</v>
      </c>
      <c r="D69" s="259" t="s">
        <v>650</v>
      </c>
      <c r="E69" s="259"/>
      <c r="F69" s="261" t="s">
        <v>31</v>
      </c>
      <c r="G69" s="259"/>
      <c r="H69" s="259"/>
      <c r="I69" s="260"/>
      <c r="J69" s="257" t="str">
        <f t="shared" si="0"/>
        <v/>
      </c>
      <c r="K69" s="258"/>
      <c r="L69" s="258"/>
      <c r="M69" s="258"/>
      <c r="N69" s="258"/>
      <c r="O69" s="122"/>
    </row>
    <row r="70" spans="1:15" s="237" customFormat="1" ht="25.5" x14ac:dyDescent="0.2">
      <c r="A70" s="259" t="s">
        <v>250</v>
      </c>
      <c r="B70" s="259" t="s">
        <v>533</v>
      </c>
      <c r="C70" s="259">
        <v>2</v>
      </c>
      <c r="D70" s="259" t="s">
        <v>650</v>
      </c>
      <c r="E70" s="259"/>
      <c r="F70" s="261" t="s">
        <v>616</v>
      </c>
      <c r="G70" s="259"/>
      <c r="H70" s="259"/>
      <c r="I70" s="260"/>
      <c r="J70" s="257" t="str">
        <f t="shared" si="0"/>
        <v/>
      </c>
      <c r="K70" s="258"/>
      <c r="L70" s="258"/>
      <c r="M70" s="258"/>
      <c r="N70" s="258"/>
      <c r="O70" s="122"/>
    </row>
    <row r="71" spans="1:15" s="237" customFormat="1" ht="38.25" x14ac:dyDescent="0.2">
      <c r="A71" s="259" t="s">
        <v>443</v>
      </c>
      <c r="B71" s="259" t="s">
        <v>533</v>
      </c>
      <c r="C71" s="259">
        <v>2</v>
      </c>
      <c r="D71" s="259" t="s">
        <v>650</v>
      </c>
      <c r="E71" s="259"/>
      <c r="F71" s="259" t="s">
        <v>895</v>
      </c>
      <c r="G71" s="259"/>
      <c r="H71" s="259"/>
      <c r="I71" s="260"/>
      <c r="J71" s="257" t="str">
        <f t="shared" si="0"/>
        <v/>
      </c>
      <c r="K71" s="258"/>
      <c r="L71" s="258"/>
      <c r="M71" s="258"/>
      <c r="N71" s="258"/>
      <c r="O71" s="122"/>
    </row>
    <row r="72" spans="1:15" s="237" customFormat="1" ht="102" x14ac:dyDescent="0.2">
      <c r="A72" s="259" t="s">
        <v>444</v>
      </c>
      <c r="B72" s="259" t="s">
        <v>533</v>
      </c>
      <c r="C72" s="259">
        <v>2</v>
      </c>
      <c r="D72" s="259" t="s">
        <v>650</v>
      </c>
      <c r="E72" s="259"/>
      <c r="F72" s="259" t="s">
        <v>954</v>
      </c>
      <c r="G72" s="259"/>
      <c r="H72" s="259"/>
      <c r="I72" s="260"/>
      <c r="J72" s="257" t="str">
        <f t="shared" si="0"/>
        <v/>
      </c>
      <c r="K72" s="258"/>
      <c r="L72" s="258"/>
      <c r="M72" s="258"/>
      <c r="N72" s="258"/>
      <c r="O72" s="122"/>
    </row>
    <row r="73" spans="1:15" s="97" customFormat="1" x14ac:dyDescent="0.2">
      <c r="A73" s="135" t="s">
        <v>951</v>
      </c>
      <c r="B73" s="136"/>
      <c r="C73" s="136"/>
      <c r="D73" s="136"/>
      <c r="E73" s="144"/>
      <c r="F73" s="144"/>
      <c r="G73" s="144"/>
      <c r="H73" s="136"/>
      <c r="I73" s="136"/>
      <c r="J73" s="136"/>
      <c r="K73" s="136"/>
      <c r="L73" s="136"/>
      <c r="M73" s="136"/>
      <c r="N73" s="136"/>
      <c r="O73" s="137"/>
    </row>
  </sheetData>
  <sheetProtection formatCells="0" formatColumns="0" formatRows="0" insertColumns="0" insertRows="0" insertHyperlinks="0" deleteColumns="0" deleteRows="0" sort="0" autoFilter="0" pivotTables="0"/>
  <dataConsolidate/>
  <mergeCells count="4">
    <mergeCell ref="I8:J8"/>
    <mergeCell ref="I9:J9"/>
    <mergeCell ref="I10:J10"/>
    <mergeCell ref="I11:J11"/>
  </mergeCells>
  <phoneticPr fontId="0" type="noConversion"/>
  <conditionalFormatting sqref="F37:F41 K13:N72">
    <cfRule type="cellIs" dxfId="77" priority="64" stopIfTrue="1" operator="equal">
      <formula>100</formula>
    </cfRule>
    <cfRule type="expression" dxfId="76" priority="65" stopIfTrue="1">
      <formula>AND(F13&gt;=50,F13&lt;&gt;"N/A",NOT(ISERROR(VALUE(F13))))</formula>
    </cfRule>
    <cfRule type="expression" dxfId="75" priority="66" stopIfTrue="1">
      <formula>NOT(OR(ISBLANK(F13),F13="N/A",ISERROR(VALUE(F13))))</formula>
    </cfRule>
  </conditionalFormatting>
  <conditionalFormatting sqref="K62 J13:J72">
    <cfRule type="expression" dxfId="74" priority="70" stopIfTrue="1">
      <formula>AND(J13&gt;=90,NOT(ISBLANK(J13)),NOT(ISERROR(VALUE(J13))))</formula>
    </cfRule>
    <cfRule type="expression" dxfId="73" priority="71" stopIfTrue="1">
      <formula>AND(J13&lt;90,J13&gt;=50,J13&lt;&gt;"N/A",NOT(ISERROR(VALUE(J13))))</formula>
    </cfRule>
    <cfRule type="expression" dxfId="72" priority="72" stopIfTrue="1">
      <formula>NOT(OR(ISBLANK(J13),J13="N/A",ISERROR(VALUE(J13))))</formula>
    </cfRule>
  </conditionalFormatting>
  <conditionalFormatting sqref="J62">
    <cfRule type="expression" dxfId="71" priority="10" stopIfTrue="1">
      <formula>AND(J62&gt;=90,NOT(ISBLANK(J62)),NOT(ISERROR(VALUE(J62))))</formula>
    </cfRule>
    <cfRule type="expression" dxfId="70" priority="11" stopIfTrue="1">
      <formula>AND(J62&lt;90,J62&gt;=50,J62&lt;&gt;"N/A",NOT(ISERROR(VALUE(J62))))</formula>
    </cfRule>
    <cfRule type="expression" dxfId="69" priority="12" stopIfTrue="1">
      <formula>NOT(OR(ISBLANK(J62),J62="N/A",ISERROR(VALUE(J62))))</formula>
    </cfRule>
  </conditionalFormatting>
  <conditionalFormatting sqref="J36">
    <cfRule type="cellIs" dxfId="68" priority="7" stopIfTrue="1" operator="equal">
      <formula>100</formula>
    </cfRule>
    <cfRule type="expression" dxfId="67" priority="8" stopIfTrue="1">
      <formula>AND(J36&gt;=50,J36&lt;&gt;"N/A",NOT(ISERROR(VALUE(J36))))</formula>
    </cfRule>
    <cfRule type="expression" dxfId="66" priority="9" stopIfTrue="1">
      <formula>NOT(OR(ISBLANK(J36),J36="N/A",ISERROR(VALUE(J36))))</formula>
    </cfRule>
  </conditionalFormatting>
  <conditionalFormatting sqref="J62">
    <cfRule type="cellIs" dxfId="65" priority="4" stopIfTrue="1" operator="equal">
      <formula>100</formula>
    </cfRule>
    <cfRule type="expression" dxfId="64" priority="5" stopIfTrue="1">
      <formula>AND(J62&gt;=50,J62&lt;&gt;"N/A",NOT(ISERROR(VALUE(J62))))</formula>
    </cfRule>
    <cfRule type="expression" dxfId="63" priority="6" stopIfTrue="1">
      <formula>NOT(OR(ISBLANK(J62),J62="N/A",ISERROR(VALUE(J62))))</formula>
    </cfRule>
  </conditionalFormatting>
  <conditionalFormatting sqref="J62">
    <cfRule type="expression" dxfId="62" priority="1" stopIfTrue="1">
      <formula>AND(J62&gt;=90,NOT(ISBLANK(J62)),NOT(ISERROR(VALUE(J62))))</formula>
    </cfRule>
    <cfRule type="expression" dxfId="61" priority="2" stopIfTrue="1">
      <formula>AND(J62&lt;90,J62&gt;=50,J62&lt;&gt;"N/A",NOT(ISERROR(VALUE(J62))))</formula>
    </cfRule>
    <cfRule type="expression" dxfId="60" priority="3" stopIfTrue="1">
      <formula>NOT(OR(ISBLANK(J62),J62="N/A",ISERROR(VALUE(J62))))</formula>
    </cfRule>
  </conditionalFormatting>
  <dataValidations count="7">
    <dataValidation type="list" allowBlank="1" showInputMessage="1" showErrorMessage="1" sqref="K63:N72 K61:N61">
      <formula1>"100,50,0,N/A"</formula1>
    </dataValidation>
    <dataValidation type="date" operator="greaterThanOrEqual" allowBlank="1" showInputMessage="1" showErrorMessage="1" sqref="K11:N11">
      <formula1>1</formula1>
    </dataValidation>
    <dataValidation type="list" allowBlank="1" showInputMessage="1" showErrorMessage="1" sqref="K13:N35 K37:N60">
      <formula1>"100,50,0,N/A,&lt;&gt;"</formula1>
    </dataValidation>
    <dataValidation type="list" allowBlank="1" showInputMessage="1" showErrorMessage="1" sqref="B13:B72">
      <formula1>"All, D, T, O, M, C, D&amp;M, D&amp;C&amp;T, D&amp;C&amp;M, D&amp;M&amp;T"</formula1>
    </dataValidation>
    <dataValidation type="list" allowBlank="1" showInputMessage="1" showErrorMessage="1" sqref="B12">
      <formula1>"QuestionType"</formula1>
    </dataValidation>
    <dataValidation operator="greaterThanOrEqual" allowBlank="1" showInputMessage="1" showErrorMessage="1" sqref="O11"/>
    <dataValidation type="custom" allowBlank="1" showErrorMessage="1" errorTitle="Input error!" error="You cannot enter value for this parent item!" sqref="J36:N36 K62:N62">
      <formula1>"Parent Item"</formula1>
    </dataValidation>
  </dataValidations>
  <pageMargins left="0.6692913385826772" right="0.31496062992125984" top="0.43307086614173229" bottom="0.55118110236220474" header="0.23622047244094491" footer="0.23622047244094491"/>
  <pageSetup paperSize="9" scale="50" orientation="landscape" horizontalDpi="300" verticalDpi="300" r:id="rId1"/>
  <headerFooter alignWithMargins="0">
    <oddFooter>&amp;L02e-CL/CL/HDCV/FSOFT v2/3&amp;CInternal use&amp;R&amp;P/&amp;N</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filterMode="1"/>
  <dimension ref="A1:AX26"/>
  <sheetViews>
    <sheetView zoomScale="80" zoomScaleNormal="80" workbookViewId="0"/>
  </sheetViews>
  <sheetFormatPr defaultColWidth="9.140625" defaultRowHeight="12.75" x14ac:dyDescent="0.2"/>
  <cols>
    <col min="1" max="1" width="9.140625" style="247"/>
    <col min="2" max="2" width="10.140625" style="247" customWidth="1"/>
    <col min="3" max="3" width="16.42578125" style="247" bestFit="1" customWidth="1"/>
    <col min="4" max="4" width="15.28515625" style="247" customWidth="1"/>
    <col min="5" max="5" width="55.85546875" style="247" customWidth="1"/>
    <col min="6" max="6" width="18.42578125" style="247" customWidth="1"/>
    <col min="7" max="11" width="8.7109375" style="247" customWidth="1"/>
    <col min="12" max="12" width="8.85546875" style="249" bestFit="1" customWidth="1"/>
    <col min="13" max="17" width="9.28515625" style="247" customWidth="1"/>
    <col min="18" max="18" width="8.85546875" style="247" bestFit="1" customWidth="1"/>
    <col min="19" max="23" width="8.85546875" style="247" customWidth="1"/>
    <col min="24" max="24" width="8.85546875" style="247" bestFit="1" customWidth="1"/>
    <col min="25" max="29" width="10" style="247" customWidth="1"/>
    <col min="30" max="30" width="8.85546875" style="247" bestFit="1" customWidth="1"/>
    <col min="31" max="31" width="15.140625" style="247" customWidth="1"/>
    <col min="32" max="16384" width="9.140625" style="247"/>
  </cols>
  <sheetData>
    <row r="1" spans="1:31" s="245" customFormat="1" ht="24.75" customHeight="1" x14ac:dyDescent="0.2">
      <c r="A1" s="244" t="s">
        <v>540</v>
      </c>
      <c r="B1" s="244"/>
      <c r="L1" s="246"/>
    </row>
    <row r="2" spans="1:31" s="252" customFormat="1" ht="12.75" customHeight="1" x14ac:dyDescent="0.2">
      <c r="A2" s="487" t="s">
        <v>126</v>
      </c>
      <c r="B2" s="251"/>
      <c r="C2" s="487" t="s">
        <v>298</v>
      </c>
      <c r="D2" s="487" t="s">
        <v>299</v>
      </c>
      <c r="E2" s="487" t="s">
        <v>293</v>
      </c>
      <c r="F2" s="487" t="s">
        <v>36</v>
      </c>
      <c r="G2" s="489" t="s">
        <v>471</v>
      </c>
      <c r="H2" s="489"/>
      <c r="I2" s="489"/>
      <c r="J2" s="489"/>
      <c r="K2" s="489"/>
      <c r="L2" s="489"/>
      <c r="M2" s="489" t="s">
        <v>471</v>
      </c>
      <c r="N2" s="489"/>
      <c r="O2" s="489"/>
      <c r="P2" s="489"/>
      <c r="Q2" s="489"/>
      <c r="R2" s="489"/>
      <c r="S2" s="489" t="s">
        <v>471</v>
      </c>
      <c r="T2" s="489"/>
      <c r="U2" s="489"/>
      <c r="V2" s="489"/>
      <c r="W2" s="489"/>
      <c r="X2" s="489"/>
      <c r="Y2" s="489" t="s">
        <v>471</v>
      </c>
      <c r="Z2" s="489"/>
      <c r="AA2" s="489"/>
      <c r="AB2" s="489"/>
      <c r="AC2" s="489"/>
      <c r="AD2" s="489"/>
      <c r="AE2" s="484" t="s">
        <v>472</v>
      </c>
    </row>
    <row r="3" spans="1:31" s="252" customFormat="1" ht="12.75" customHeight="1" x14ac:dyDescent="0.2">
      <c r="A3" s="488"/>
      <c r="B3" s="251" t="str">
        <f>MacroFilter_ColumnName</f>
        <v>QuestionType</v>
      </c>
      <c r="C3" s="488"/>
      <c r="D3" s="488"/>
      <c r="E3" s="488"/>
      <c r="F3" s="488"/>
      <c r="G3" s="253">
        <f>IF(OR('Project Summary'!E$10="dd-mmm-yy",NOT(ISNUMBER('Project Summary'!E$10))),"dd-mmm",'Project Summary'!E$10)</f>
        <v>42464</v>
      </c>
      <c r="H3" s="253">
        <f>IF( AND(G3&lt;&gt;"",ISNUMBER(G3)), IF(WEEKDAY(G3+1)=1,  G3+2,  IF(WEEKDAY(G3+1)=7,G3+3,G3+1)),"dd-mmm")</f>
        <v>42465</v>
      </c>
      <c r="I3" s="253">
        <f>IF( AND(H3&lt;&gt;"",ISNUMBER(H3)), IF(WEEKDAY(H3+1)=1,  H3+2,  IF(WEEKDAY(H3+1)=7,H3+3,H3+1)),"dd-mmm")</f>
        <v>42466</v>
      </c>
      <c r="J3" s="253">
        <f>IF( AND(I3&lt;&gt;"",ISNUMBER(I3)), IF(WEEKDAY(I3+1)=1,  I3+2,  IF(WEEKDAY(I3+1)=7,I3+3,I3+1)),"dd-mmm")</f>
        <v>42467</v>
      </c>
      <c r="K3" s="253">
        <f>IF( AND(J3&lt;&gt;"",ISNUMBER(J3)), IF(WEEKDAY(J3+1)=1,  J3+2,  IF(WEEKDAY(J3+1)=7,J3+3,J3+1)),"dd-mmm")</f>
        <v>42468</v>
      </c>
      <c r="L3" s="256" t="s">
        <v>316</v>
      </c>
      <c r="M3" s="253">
        <f>IF(AND(G3&lt;&gt;"",ISNUMBER(G3)),G3+7,"dd-mmm")</f>
        <v>42471</v>
      </c>
      <c r="N3" s="253">
        <f>IF(AND(H3&lt;&gt;"",ISNUMBER(H3)),H3+7,"dd-mmm")</f>
        <v>42472</v>
      </c>
      <c r="O3" s="253">
        <f>IF(AND(I3&lt;&gt;"",ISNUMBER(I3)),I3+7,"dd-mmm")</f>
        <v>42473</v>
      </c>
      <c r="P3" s="253">
        <f>IF(AND(J3&lt;&gt;"",ISNUMBER(J3)),J3+7,"dd-mmm")</f>
        <v>42474</v>
      </c>
      <c r="Q3" s="253">
        <f>IF(AND(K3&lt;&gt;"",ISNUMBER(K3)),K3+7,"dd-mmm")</f>
        <v>42475</v>
      </c>
      <c r="R3" s="256" t="s">
        <v>316</v>
      </c>
      <c r="S3" s="253">
        <f>IF(AND(M3&lt;&gt;"",ISNUMBER(M3)),M3+7,"dd-mmm")</f>
        <v>42478</v>
      </c>
      <c r="T3" s="253">
        <f>IF(AND(N3&lt;&gt;"",ISNUMBER(N3)),N3+7,"dd-mmm")</f>
        <v>42479</v>
      </c>
      <c r="U3" s="253">
        <f>IF(AND(O3&lt;&gt;"",ISNUMBER(O3)),O3+7,"dd-mmm")</f>
        <v>42480</v>
      </c>
      <c r="V3" s="253">
        <f>IF(AND(P3&lt;&gt;"",ISNUMBER(P3)),P3+7,"dd-mmm")</f>
        <v>42481</v>
      </c>
      <c r="W3" s="253">
        <f>IF(AND(Q3&lt;&gt;"",ISNUMBER(Q3)),Q3+7,"dd-mmm")</f>
        <v>42482</v>
      </c>
      <c r="X3" s="256" t="s">
        <v>316</v>
      </c>
      <c r="Y3" s="253">
        <f>IF(AND(S3&lt;&gt;"",ISNUMBER(S3)),S3+7,"dd-mmm")</f>
        <v>42485</v>
      </c>
      <c r="Z3" s="253">
        <f>IF(AND(T3&lt;&gt;"",ISNUMBER(T3)),T3+7,"dd-mmm")</f>
        <v>42486</v>
      </c>
      <c r="AA3" s="253">
        <f>IF(AND(U3&lt;&gt;"",ISNUMBER(U3)),U3+7,"dd-mmm")</f>
        <v>42487</v>
      </c>
      <c r="AB3" s="253">
        <f>IF(AND(V3&lt;&gt;"",ISNUMBER(V3)),V3+7,"dd-mmm")</f>
        <v>42488</v>
      </c>
      <c r="AC3" s="253">
        <f>IF(AND(W3&lt;&gt;"",ISNUMBER(W3)),W3+7,"dd-mmm")</f>
        <v>42489</v>
      </c>
      <c r="AD3" s="256" t="s">
        <v>316</v>
      </c>
      <c r="AE3" s="485"/>
    </row>
    <row r="4" spans="1:31" s="365" customFormat="1" ht="25.5" hidden="1" x14ac:dyDescent="0.2">
      <c r="A4" s="338" t="s">
        <v>553</v>
      </c>
      <c r="B4" s="309" t="s">
        <v>538</v>
      </c>
      <c r="C4" s="311" t="s">
        <v>330</v>
      </c>
      <c r="D4" s="361" t="s">
        <v>474</v>
      </c>
      <c r="E4" s="362" t="s">
        <v>598</v>
      </c>
      <c r="F4" s="363"/>
      <c r="G4" s="315"/>
      <c r="H4" s="315"/>
      <c r="I4" s="315"/>
      <c r="J4" s="315"/>
      <c r="K4" s="315"/>
      <c r="L4" s="364" t="str">
        <f t="shared" ref="L4:L20" si="0">IFERROR(SUMPRODUCT(ISNUMBER(G$3:K$3)*ISNUMBER(G4:K4), G4:K4)/SUMPRODUCT(ISNUMBER(G$3:K$3)*ISNUMBER(G4:K4)),"")</f>
        <v/>
      </c>
      <c r="M4" s="315"/>
      <c r="N4" s="315"/>
      <c r="O4" s="315"/>
      <c r="P4" s="315"/>
      <c r="Q4" s="315"/>
      <c r="R4" s="364" t="str">
        <f t="shared" ref="R4:R20" si="1">IFERROR(SUMPRODUCT(ISNUMBER(M$3:Q$3)*ISNUMBER(M4:Q4), M4:Q4)/SUMPRODUCT(ISNUMBER(M$3:Q$3)*ISNUMBER(M4:Q4)),"")</f>
        <v/>
      </c>
      <c r="S4" s="315"/>
      <c r="T4" s="315"/>
      <c r="U4" s="315"/>
      <c r="V4" s="315"/>
      <c r="W4" s="315"/>
      <c r="X4" s="364" t="str">
        <f t="shared" ref="X4:X20" si="2">IFERROR(SUMPRODUCT(ISNUMBER(S$3:W$3)*ISNUMBER(S4:W4), S4:W4)/SUMPRODUCT(ISNUMBER(S$3:W$3)*ISNUMBER(S4:W4)),"")</f>
        <v/>
      </c>
      <c r="Y4" s="315"/>
      <c r="Z4" s="315"/>
      <c r="AA4" s="315"/>
      <c r="AB4" s="315"/>
      <c r="AC4" s="315"/>
      <c r="AD4" s="364" t="str">
        <f t="shared" ref="AD4:AD20" si="3">IFERROR(SUMPRODUCT(ISNUMBER(Y$3:AC$3)*ISNUMBER(Y4:AC4), Y4:AC4)/SUMPRODUCT(ISNUMBER(Y$3:AC$3)*ISNUMBER(Y4:AC4)),"")</f>
        <v/>
      </c>
      <c r="AE4" s="364"/>
    </row>
    <row r="5" spans="1:31" s="365" customFormat="1" ht="30" hidden="1" customHeight="1" x14ac:dyDescent="0.2">
      <c r="A5" s="338" t="s">
        <v>554</v>
      </c>
      <c r="B5" s="309" t="s">
        <v>538</v>
      </c>
      <c r="C5" s="311" t="s">
        <v>330</v>
      </c>
      <c r="D5" s="361" t="s">
        <v>474</v>
      </c>
      <c r="E5" s="362" t="s">
        <v>841</v>
      </c>
      <c r="F5" s="363"/>
      <c r="G5" s="315"/>
      <c r="H5" s="315"/>
      <c r="I5" s="315"/>
      <c r="J5" s="315"/>
      <c r="K5" s="315"/>
      <c r="L5" s="364" t="str">
        <f>IFERROR(SUMPRODUCT(ISNUMBER(G$3:K$3)*ISNUMBER(G5:K5), G5:K5)/SUMPRODUCT(ISNUMBER(G$3:K$3)*ISNUMBER(G5:K5)),"")</f>
        <v/>
      </c>
      <c r="M5" s="315"/>
      <c r="N5" s="315"/>
      <c r="O5" s="315"/>
      <c r="P5" s="315"/>
      <c r="Q5" s="315"/>
      <c r="R5" s="364" t="str">
        <f t="shared" si="1"/>
        <v/>
      </c>
      <c r="S5" s="315"/>
      <c r="T5" s="315"/>
      <c r="U5" s="315"/>
      <c r="V5" s="315"/>
      <c r="W5" s="315"/>
      <c r="X5" s="364" t="str">
        <f t="shared" si="2"/>
        <v/>
      </c>
      <c r="Y5" s="315"/>
      <c r="Z5" s="315"/>
      <c r="AA5" s="315"/>
      <c r="AB5" s="315"/>
      <c r="AC5" s="315"/>
      <c r="AD5" s="364" t="str">
        <f t="shared" si="3"/>
        <v/>
      </c>
      <c r="AE5" s="364"/>
    </row>
    <row r="6" spans="1:31" s="365" customFormat="1" ht="25.5" x14ac:dyDescent="0.2">
      <c r="A6" s="338" t="s">
        <v>13</v>
      </c>
      <c r="B6" s="309" t="s">
        <v>535</v>
      </c>
      <c r="C6" s="311" t="s">
        <v>330</v>
      </c>
      <c r="D6" s="366" t="s">
        <v>474</v>
      </c>
      <c r="E6" s="362" t="s">
        <v>842</v>
      </c>
      <c r="F6" s="363"/>
      <c r="G6" s="315"/>
      <c r="H6" s="315"/>
      <c r="I6" s="315"/>
      <c r="J6" s="315"/>
      <c r="K6" s="315"/>
      <c r="L6" s="364" t="str">
        <f t="shared" si="0"/>
        <v/>
      </c>
      <c r="M6" s="315"/>
      <c r="N6" s="315"/>
      <c r="O6" s="315"/>
      <c r="P6" s="315"/>
      <c r="Q6" s="315"/>
      <c r="R6" s="364" t="str">
        <f t="shared" si="1"/>
        <v/>
      </c>
      <c r="S6" s="315"/>
      <c r="T6" s="315"/>
      <c r="U6" s="315"/>
      <c r="V6" s="315"/>
      <c r="W6" s="315"/>
      <c r="X6" s="364" t="str">
        <f t="shared" si="2"/>
        <v/>
      </c>
      <c r="Y6" s="315"/>
      <c r="Z6" s="315"/>
      <c r="AA6" s="315"/>
      <c r="AB6" s="315"/>
      <c r="AC6" s="315"/>
      <c r="AD6" s="364" t="str">
        <f t="shared" si="3"/>
        <v/>
      </c>
      <c r="AE6" s="364"/>
    </row>
    <row r="7" spans="1:31" s="365" customFormat="1" ht="30" customHeight="1" x14ac:dyDescent="0.2">
      <c r="A7" s="338" t="s">
        <v>473</v>
      </c>
      <c r="B7" s="309" t="s">
        <v>535</v>
      </c>
      <c r="C7" s="311" t="s">
        <v>330</v>
      </c>
      <c r="D7" s="366" t="s">
        <v>474</v>
      </c>
      <c r="E7" s="362" t="s">
        <v>843</v>
      </c>
      <c r="F7" s="363"/>
      <c r="G7" s="315"/>
      <c r="H7" s="315"/>
      <c r="I7" s="315"/>
      <c r="J7" s="315"/>
      <c r="K7" s="315"/>
      <c r="L7" s="364" t="str">
        <f t="shared" si="0"/>
        <v/>
      </c>
      <c r="M7" s="315"/>
      <c r="N7" s="315"/>
      <c r="O7" s="315"/>
      <c r="P7" s="315"/>
      <c r="Q7" s="315"/>
      <c r="R7" s="364" t="str">
        <f t="shared" si="1"/>
        <v/>
      </c>
      <c r="S7" s="315"/>
      <c r="T7" s="315"/>
      <c r="U7" s="315"/>
      <c r="V7" s="315"/>
      <c r="W7" s="315"/>
      <c r="X7" s="364" t="str">
        <f t="shared" si="2"/>
        <v/>
      </c>
      <c r="Y7" s="315"/>
      <c r="Z7" s="315"/>
      <c r="AA7" s="315"/>
      <c r="AB7" s="315"/>
      <c r="AC7" s="315"/>
      <c r="AD7" s="364" t="str">
        <f t="shared" si="3"/>
        <v/>
      </c>
      <c r="AE7" s="364"/>
    </row>
    <row r="8" spans="1:31" s="365" customFormat="1" ht="25.5" x14ac:dyDescent="0.2">
      <c r="A8" s="338" t="s">
        <v>475</v>
      </c>
      <c r="B8" s="309" t="s">
        <v>535</v>
      </c>
      <c r="C8" s="311" t="s">
        <v>330</v>
      </c>
      <c r="D8" s="366" t="s">
        <v>474</v>
      </c>
      <c r="E8" s="362" t="s">
        <v>990</v>
      </c>
      <c r="F8" s="363"/>
      <c r="G8" s="315"/>
      <c r="H8" s="315"/>
      <c r="I8" s="315"/>
      <c r="J8" s="315"/>
      <c r="K8" s="315"/>
      <c r="L8" s="364" t="str">
        <f t="shared" si="0"/>
        <v/>
      </c>
      <c r="M8" s="315"/>
      <c r="N8" s="315"/>
      <c r="O8" s="315"/>
      <c r="P8" s="315"/>
      <c r="Q8" s="315"/>
      <c r="R8" s="364" t="str">
        <f t="shared" si="1"/>
        <v/>
      </c>
      <c r="S8" s="315"/>
      <c r="T8" s="315"/>
      <c r="U8" s="315"/>
      <c r="V8" s="315"/>
      <c r="W8" s="315"/>
      <c r="X8" s="364" t="str">
        <f t="shared" si="2"/>
        <v/>
      </c>
      <c r="Y8" s="315"/>
      <c r="Z8" s="315"/>
      <c r="AA8" s="315"/>
      <c r="AB8" s="315"/>
      <c r="AC8" s="315"/>
      <c r="AD8" s="364" t="str">
        <f t="shared" si="3"/>
        <v/>
      </c>
      <c r="AE8" s="364"/>
    </row>
    <row r="9" spans="1:31" s="365" customFormat="1" x14ac:dyDescent="0.2">
      <c r="A9" s="338" t="s">
        <v>476</v>
      </c>
      <c r="B9" s="309" t="s">
        <v>535</v>
      </c>
      <c r="C9" s="311" t="s">
        <v>330</v>
      </c>
      <c r="D9" s="366" t="s">
        <v>474</v>
      </c>
      <c r="E9" s="362" t="s">
        <v>844</v>
      </c>
      <c r="F9" s="363"/>
      <c r="G9" s="315"/>
      <c r="H9" s="315"/>
      <c r="I9" s="315"/>
      <c r="J9" s="315"/>
      <c r="K9" s="315"/>
      <c r="L9" s="364" t="str">
        <f t="shared" si="0"/>
        <v/>
      </c>
      <c r="M9" s="315"/>
      <c r="N9" s="315"/>
      <c r="O9" s="315"/>
      <c r="P9" s="315"/>
      <c r="Q9" s="315"/>
      <c r="R9" s="364" t="str">
        <f t="shared" si="1"/>
        <v/>
      </c>
      <c r="S9" s="315"/>
      <c r="T9" s="315"/>
      <c r="U9" s="315"/>
      <c r="V9" s="315"/>
      <c r="W9" s="315"/>
      <c r="X9" s="364" t="str">
        <f t="shared" si="2"/>
        <v/>
      </c>
      <c r="Y9" s="315"/>
      <c r="Z9" s="315"/>
      <c r="AA9" s="315"/>
      <c r="AB9" s="315"/>
      <c r="AC9" s="315"/>
      <c r="AD9" s="364" t="str">
        <f t="shared" si="3"/>
        <v/>
      </c>
      <c r="AE9" s="364"/>
    </row>
    <row r="10" spans="1:31" s="365" customFormat="1" x14ac:dyDescent="0.2">
      <c r="A10" s="338" t="s">
        <v>477</v>
      </c>
      <c r="B10" s="309" t="s">
        <v>535</v>
      </c>
      <c r="C10" s="311" t="s">
        <v>330</v>
      </c>
      <c r="D10" s="366" t="s">
        <v>479</v>
      </c>
      <c r="E10" s="351" t="s">
        <v>599</v>
      </c>
      <c r="F10" s="363"/>
      <c r="G10" s="315"/>
      <c r="H10" s="315"/>
      <c r="I10" s="315"/>
      <c r="J10" s="315"/>
      <c r="K10" s="315"/>
      <c r="L10" s="364" t="str">
        <f t="shared" si="0"/>
        <v/>
      </c>
      <c r="M10" s="315"/>
      <c r="N10" s="315"/>
      <c r="O10" s="315"/>
      <c r="P10" s="315"/>
      <c r="Q10" s="315"/>
      <c r="R10" s="364" t="str">
        <f t="shared" si="1"/>
        <v/>
      </c>
      <c r="S10" s="315"/>
      <c r="T10" s="315"/>
      <c r="U10" s="315"/>
      <c r="V10" s="315"/>
      <c r="W10" s="315"/>
      <c r="X10" s="364" t="str">
        <f t="shared" si="2"/>
        <v/>
      </c>
      <c r="Y10" s="315"/>
      <c r="Z10" s="315"/>
      <c r="AA10" s="315"/>
      <c r="AB10" s="315"/>
      <c r="AC10" s="315"/>
      <c r="AD10" s="364" t="str">
        <f t="shared" si="3"/>
        <v/>
      </c>
      <c r="AE10" s="364"/>
    </row>
    <row r="11" spans="1:31" s="369" customFormat="1" ht="25.5" x14ac:dyDescent="0.2">
      <c r="A11" s="339" t="s">
        <v>478</v>
      </c>
      <c r="B11" s="310" t="s">
        <v>535</v>
      </c>
      <c r="C11" s="310" t="s">
        <v>330</v>
      </c>
      <c r="D11" s="355" t="s">
        <v>481</v>
      </c>
      <c r="E11" s="351" t="s">
        <v>845</v>
      </c>
      <c r="F11" s="367"/>
      <c r="G11" s="325"/>
      <c r="H11" s="325"/>
      <c r="I11" s="325"/>
      <c r="J11" s="325"/>
      <c r="K11" s="325"/>
      <c r="L11" s="368"/>
      <c r="M11" s="325"/>
      <c r="N11" s="325"/>
      <c r="O11" s="325"/>
      <c r="P11" s="325"/>
      <c r="Q11" s="325"/>
      <c r="R11" s="368"/>
      <c r="S11" s="325"/>
      <c r="T11" s="325"/>
      <c r="U11" s="325"/>
      <c r="V11" s="325"/>
      <c r="W11" s="325"/>
      <c r="X11" s="368"/>
      <c r="Y11" s="325"/>
      <c r="Z11" s="325"/>
      <c r="AA11" s="325"/>
      <c r="AB11" s="325"/>
      <c r="AC11" s="325"/>
      <c r="AD11" s="368"/>
      <c r="AE11" s="364"/>
    </row>
    <row r="12" spans="1:31" s="365" customFormat="1" ht="14.25" customHeight="1" x14ac:dyDescent="0.2">
      <c r="A12" s="338" t="s">
        <v>480</v>
      </c>
      <c r="B12" s="309" t="s">
        <v>535</v>
      </c>
      <c r="C12" s="311" t="s">
        <v>330</v>
      </c>
      <c r="D12" s="366" t="s">
        <v>481</v>
      </c>
      <c r="E12" s="152" t="s">
        <v>483</v>
      </c>
      <c r="F12" s="363"/>
      <c r="G12" s="315"/>
      <c r="H12" s="315"/>
      <c r="I12" s="315"/>
      <c r="J12" s="315"/>
      <c r="K12" s="315"/>
      <c r="L12" s="364" t="str">
        <f t="shared" si="0"/>
        <v/>
      </c>
      <c r="M12" s="315"/>
      <c r="N12" s="315"/>
      <c r="O12" s="315"/>
      <c r="P12" s="315"/>
      <c r="Q12" s="315"/>
      <c r="R12" s="364" t="str">
        <f t="shared" si="1"/>
        <v/>
      </c>
      <c r="S12" s="315"/>
      <c r="T12" s="315"/>
      <c r="U12" s="315"/>
      <c r="V12" s="315"/>
      <c r="W12" s="315"/>
      <c r="X12" s="364" t="str">
        <f t="shared" si="2"/>
        <v/>
      </c>
      <c r="Y12" s="315"/>
      <c r="Z12" s="315"/>
      <c r="AA12" s="315"/>
      <c r="AB12" s="315"/>
      <c r="AC12" s="315"/>
      <c r="AD12" s="364" t="str">
        <f t="shared" si="3"/>
        <v/>
      </c>
      <c r="AE12" s="364"/>
    </row>
    <row r="13" spans="1:31" s="365" customFormat="1" ht="12.75" customHeight="1" x14ac:dyDescent="0.2">
      <c r="A13" s="338" t="s">
        <v>482</v>
      </c>
      <c r="B13" s="309" t="s">
        <v>535</v>
      </c>
      <c r="C13" s="311" t="s">
        <v>330</v>
      </c>
      <c r="D13" s="366" t="s">
        <v>481</v>
      </c>
      <c r="E13" s="152" t="s">
        <v>617</v>
      </c>
      <c r="F13" s="370"/>
      <c r="G13" s="315"/>
      <c r="H13" s="315"/>
      <c r="I13" s="315"/>
      <c r="J13" s="315"/>
      <c r="K13" s="315"/>
      <c r="L13" s="364" t="str">
        <f t="shared" si="0"/>
        <v/>
      </c>
      <c r="M13" s="315"/>
      <c r="N13" s="315"/>
      <c r="O13" s="315"/>
      <c r="P13" s="315"/>
      <c r="Q13" s="315"/>
      <c r="R13" s="364" t="str">
        <f t="shared" si="1"/>
        <v/>
      </c>
      <c r="S13" s="315"/>
      <c r="T13" s="315"/>
      <c r="U13" s="315"/>
      <c r="V13" s="315"/>
      <c r="W13" s="315"/>
      <c r="X13" s="364" t="str">
        <f t="shared" si="2"/>
        <v/>
      </c>
      <c r="Y13" s="315"/>
      <c r="Z13" s="315"/>
      <c r="AA13" s="315"/>
      <c r="AB13" s="315"/>
      <c r="AC13" s="315"/>
      <c r="AD13" s="364" t="str">
        <f t="shared" si="3"/>
        <v/>
      </c>
      <c r="AE13" s="364"/>
    </row>
    <row r="14" spans="1:31" s="365" customFormat="1" ht="25.5" x14ac:dyDescent="0.2">
      <c r="A14" s="338" t="s">
        <v>484</v>
      </c>
      <c r="B14" s="309" t="s">
        <v>535</v>
      </c>
      <c r="C14" s="311" t="s">
        <v>330</v>
      </c>
      <c r="D14" s="366" t="s">
        <v>481</v>
      </c>
      <c r="E14" s="152" t="s">
        <v>619</v>
      </c>
      <c r="F14" s="370"/>
      <c r="G14" s="315"/>
      <c r="H14" s="315"/>
      <c r="I14" s="315"/>
      <c r="J14" s="315"/>
      <c r="K14" s="315"/>
      <c r="L14" s="364" t="str">
        <f t="shared" si="0"/>
        <v/>
      </c>
      <c r="M14" s="315"/>
      <c r="N14" s="315"/>
      <c r="O14" s="315"/>
      <c r="P14" s="315"/>
      <c r="Q14" s="315"/>
      <c r="R14" s="364" t="str">
        <f t="shared" si="1"/>
        <v/>
      </c>
      <c r="S14" s="315"/>
      <c r="T14" s="315"/>
      <c r="U14" s="315"/>
      <c r="V14" s="315"/>
      <c r="W14" s="315"/>
      <c r="X14" s="364" t="str">
        <f t="shared" si="2"/>
        <v/>
      </c>
      <c r="Y14" s="315"/>
      <c r="Z14" s="315"/>
      <c r="AA14" s="315"/>
      <c r="AB14" s="315"/>
      <c r="AC14" s="315"/>
      <c r="AD14" s="364" t="str">
        <f t="shared" si="3"/>
        <v/>
      </c>
      <c r="AE14" s="364"/>
    </row>
    <row r="15" spans="1:31" s="365" customFormat="1" x14ac:dyDescent="0.2">
      <c r="A15" s="338" t="s">
        <v>485</v>
      </c>
      <c r="B15" s="309" t="s">
        <v>535</v>
      </c>
      <c r="C15" s="311" t="s">
        <v>330</v>
      </c>
      <c r="D15" s="366" t="s">
        <v>481</v>
      </c>
      <c r="E15" s="152" t="s">
        <v>618</v>
      </c>
      <c r="F15" s="370"/>
      <c r="G15" s="315"/>
      <c r="H15" s="315"/>
      <c r="I15" s="315"/>
      <c r="J15" s="315"/>
      <c r="K15" s="315"/>
      <c r="L15" s="364" t="str">
        <f t="shared" si="0"/>
        <v/>
      </c>
      <c r="M15" s="315"/>
      <c r="N15" s="315"/>
      <c r="O15" s="315"/>
      <c r="P15" s="315"/>
      <c r="Q15" s="315"/>
      <c r="R15" s="364" t="str">
        <f t="shared" si="1"/>
        <v/>
      </c>
      <c r="S15" s="315"/>
      <c r="T15" s="315"/>
      <c r="U15" s="315"/>
      <c r="V15" s="315"/>
      <c r="W15" s="315"/>
      <c r="X15" s="364" t="str">
        <f t="shared" si="2"/>
        <v/>
      </c>
      <c r="Y15" s="315"/>
      <c r="Z15" s="315"/>
      <c r="AA15" s="315"/>
      <c r="AB15" s="315"/>
      <c r="AC15" s="315"/>
      <c r="AD15" s="364" t="str">
        <f t="shared" si="3"/>
        <v/>
      </c>
      <c r="AE15" s="364"/>
    </row>
    <row r="16" spans="1:31" s="369" customFormat="1" ht="25.5" x14ac:dyDescent="0.2">
      <c r="A16" s="339" t="s">
        <v>486</v>
      </c>
      <c r="B16" s="310" t="s">
        <v>535</v>
      </c>
      <c r="C16" s="310" t="s">
        <v>330</v>
      </c>
      <c r="D16" s="355" t="s">
        <v>479</v>
      </c>
      <c r="E16" s="350" t="s">
        <v>896</v>
      </c>
      <c r="F16" s="371"/>
      <c r="G16" s="325"/>
      <c r="H16" s="325"/>
      <c r="I16" s="325"/>
      <c r="J16" s="325"/>
      <c r="K16" s="325"/>
      <c r="L16" s="368"/>
      <c r="M16" s="325"/>
      <c r="N16" s="325"/>
      <c r="O16" s="325"/>
      <c r="P16" s="325"/>
      <c r="Q16" s="325"/>
      <c r="R16" s="368"/>
      <c r="S16" s="325"/>
      <c r="T16" s="325"/>
      <c r="U16" s="325"/>
      <c r="V16" s="325"/>
      <c r="W16" s="325"/>
      <c r="X16" s="368"/>
      <c r="Y16" s="325"/>
      <c r="Z16" s="325"/>
      <c r="AA16" s="325"/>
      <c r="AB16" s="325"/>
      <c r="AC16" s="325"/>
      <c r="AD16" s="368"/>
      <c r="AE16" s="364"/>
    </row>
    <row r="17" spans="1:50" s="365" customFormat="1" x14ac:dyDescent="0.2">
      <c r="A17" s="338" t="s">
        <v>487</v>
      </c>
      <c r="B17" s="309" t="s">
        <v>535</v>
      </c>
      <c r="C17" s="311" t="s">
        <v>330</v>
      </c>
      <c r="D17" s="366" t="s">
        <v>479</v>
      </c>
      <c r="E17" s="152" t="s">
        <v>600</v>
      </c>
      <c r="F17" s="363"/>
      <c r="G17" s="315"/>
      <c r="H17" s="315"/>
      <c r="I17" s="315"/>
      <c r="J17" s="315"/>
      <c r="K17" s="315"/>
      <c r="L17" s="364" t="str">
        <f t="shared" si="0"/>
        <v/>
      </c>
      <c r="M17" s="315"/>
      <c r="N17" s="315"/>
      <c r="O17" s="315"/>
      <c r="P17" s="315"/>
      <c r="Q17" s="315"/>
      <c r="R17" s="364" t="str">
        <f t="shared" si="1"/>
        <v/>
      </c>
      <c r="S17" s="315"/>
      <c r="T17" s="315"/>
      <c r="U17" s="315"/>
      <c r="V17" s="315"/>
      <c r="W17" s="315"/>
      <c r="X17" s="364" t="str">
        <f t="shared" si="2"/>
        <v/>
      </c>
      <c r="Y17" s="315"/>
      <c r="Z17" s="315"/>
      <c r="AA17" s="315"/>
      <c r="AB17" s="315"/>
      <c r="AC17" s="315"/>
      <c r="AD17" s="364" t="str">
        <f t="shared" si="3"/>
        <v/>
      </c>
      <c r="AE17" s="364"/>
    </row>
    <row r="18" spans="1:50" s="365" customFormat="1" x14ac:dyDescent="0.2">
      <c r="A18" s="338" t="s">
        <v>1</v>
      </c>
      <c r="B18" s="309" t="s">
        <v>535</v>
      </c>
      <c r="C18" s="311" t="s">
        <v>330</v>
      </c>
      <c r="D18" s="366" t="s">
        <v>479</v>
      </c>
      <c r="E18" s="152" t="s">
        <v>3</v>
      </c>
      <c r="F18" s="372"/>
      <c r="G18" s="315"/>
      <c r="H18" s="315"/>
      <c r="I18" s="315"/>
      <c r="J18" s="315"/>
      <c r="K18" s="315"/>
      <c r="L18" s="364" t="str">
        <f t="shared" si="0"/>
        <v/>
      </c>
      <c r="M18" s="315"/>
      <c r="N18" s="315"/>
      <c r="O18" s="315"/>
      <c r="P18" s="315"/>
      <c r="Q18" s="315"/>
      <c r="R18" s="364" t="str">
        <f t="shared" si="1"/>
        <v/>
      </c>
      <c r="S18" s="315"/>
      <c r="T18" s="315"/>
      <c r="U18" s="315"/>
      <c r="V18" s="315"/>
      <c r="W18" s="315"/>
      <c r="X18" s="364" t="str">
        <f t="shared" si="2"/>
        <v/>
      </c>
      <c r="Y18" s="315"/>
      <c r="Z18" s="315"/>
      <c r="AA18" s="315"/>
      <c r="AB18" s="315"/>
      <c r="AC18" s="315"/>
      <c r="AD18" s="364" t="str">
        <f t="shared" si="3"/>
        <v/>
      </c>
      <c r="AE18" s="364"/>
    </row>
    <row r="19" spans="1:50" s="365" customFormat="1" x14ac:dyDescent="0.2">
      <c r="A19" s="338" t="s">
        <v>2</v>
      </c>
      <c r="B19" s="309" t="s">
        <v>535</v>
      </c>
      <c r="C19" s="311" t="s">
        <v>330</v>
      </c>
      <c r="D19" s="366" t="s">
        <v>5</v>
      </c>
      <c r="E19" s="350" t="s">
        <v>847</v>
      </c>
      <c r="F19" s="372"/>
      <c r="G19" s="315"/>
      <c r="H19" s="315"/>
      <c r="I19" s="315"/>
      <c r="J19" s="315"/>
      <c r="K19" s="315"/>
      <c r="L19" s="364" t="str">
        <f t="shared" si="0"/>
        <v/>
      </c>
      <c r="M19" s="315"/>
      <c r="N19" s="315"/>
      <c r="O19" s="315"/>
      <c r="P19" s="315"/>
      <c r="Q19" s="315"/>
      <c r="R19" s="364" t="str">
        <f t="shared" si="1"/>
        <v/>
      </c>
      <c r="S19" s="315"/>
      <c r="T19" s="315"/>
      <c r="U19" s="315"/>
      <c r="V19" s="315"/>
      <c r="W19" s="315"/>
      <c r="X19" s="364" t="str">
        <f t="shared" si="2"/>
        <v/>
      </c>
      <c r="Y19" s="315"/>
      <c r="Z19" s="315"/>
      <c r="AA19" s="315"/>
      <c r="AB19" s="315"/>
      <c r="AC19" s="315"/>
      <c r="AD19" s="364" t="str">
        <f t="shared" si="3"/>
        <v/>
      </c>
      <c r="AE19" s="364"/>
    </row>
    <row r="20" spans="1:50" s="365" customFormat="1" ht="36" customHeight="1" x14ac:dyDescent="0.2">
      <c r="A20" s="338" t="s">
        <v>4</v>
      </c>
      <c r="B20" s="310" t="s">
        <v>535</v>
      </c>
      <c r="C20" s="311" t="s">
        <v>330</v>
      </c>
      <c r="D20" s="366" t="s">
        <v>5</v>
      </c>
      <c r="E20" s="350" t="s">
        <v>964</v>
      </c>
      <c r="F20" s="373"/>
      <c r="G20" s="315"/>
      <c r="H20" s="315"/>
      <c r="I20" s="315"/>
      <c r="J20" s="315"/>
      <c r="K20" s="315"/>
      <c r="L20" s="364" t="str">
        <f t="shared" si="0"/>
        <v/>
      </c>
      <c r="M20" s="315"/>
      <c r="N20" s="315"/>
      <c r="O20" s="315"/>
      <c r="P20" s="315"/>
      <c r="Q20" s="315"/>
      <c r="R20" s="364" t="str">
        <f t="shared" si="1"/>
        <v/>
      </c>
      <c r="S20" s="315"/>
      <c r="T20" s="315"/>
      <c r="U20" s="315"/>
      <c r="V20" s="315"/>
      <c r="W20" s="315"/>
      <c r="X20" s="364" t="str">
        <f t="shared" si="2"/>
        <v/>
      </c>
      <c r="Y20" s="315"/>
      <c r="Z20" s="315"/>
      <c r="AA20" s="315"/>
      <c r="AB20" s="315"/>
      <c r="AC20" s="315"/>
      <c r="AD20" s="364" t="str">
        <f t="shared" si="3"/>
        <v/>
      </c>
      <c r="AE20" s="364"/>
    </row>
    <row r="21" spans="1:50" s="165" customFormat="1" hidden="1" x14ac:dyDescent="0.2">
      <c r="A21" s="486" t="s">
        <v>946</v>
      </c>
      <c r="B21" s="486"/>
      <c r="C21" s="486"/>
      <c r="D21" s="486"/>
      <c r="E21" s="486"/>
      <c r="F21" s="486"/>
      <c r="G21" s="486"/>
      <c r="H21" s="486"/>
      <c r="I21" s="486"/>
      <c r="J21" s="486"/>
      <c r="K21" s="486"/>
      <c r="L21" s="486"/>
      <c r="M21" s="486"/>
      <c r="N21" s="486"/>
      <c r="O21" s="486"/>
      <c r="P21" s="486"/>
      <c r="Q21" s="486"/>
      <c r="R21" s="486"/>
      <c r="S21" s="486"/>
      <c r="T21" s="486"/>
      <c r="U21" s="486"/>
      <c r="V21" s="486"/>
      <c r="W21" s="486"/>
      <c r="X21" s="486"/>
      <c r="Y21" s="486"/>
      <c r="Z21" s="486"/>
      <c r="AA21" s="486"/>
      <c r="AB21" s="486"/>
      <c r="AC21" s="486"/>
      <c r="AD21" s="486"/>
      <c r="AE21" s="486"/>
      <c r="AF21" s="247"/>
      <c r="AG21" s="247"/>
      <c r="AH21" s="247"/>
      <c r="AI21" s="247"/>
      <c r="AJ21" s="247"/>
      <c r="AK21" s="247"/>
      <c r="AL21" s="247"/>
      <c r="AM21" s="247"/>
      <c r="AN21" s="247"/>
      <c r="AO21" s="247"/>
      <c r="AP21" s="247"/>
      <c r="AQ21" s="247"/>
      <c r="AR21" s="247"/>
      <c r="AS21" s="247"/>
      <c r="AT21" s="247"/>
      <c r="AU21" s="247"/>
      <c r="AV21" s="247"/>
      <c r="AW21" s="247"/>
      <c r="AX21" s="247"/>
    </row>
    <row r="24" spans="1:50" x14ac:dyDescent="0.2">
      <c r="B24" s="248"/>
    </row>
    <row r="25" spans="1:50" x14ac:dyDescent="0.2">
      <c r="B25" s="250"/>
    </row>
    <row r="26" spans="1:50" x14ac:dyDescent="0.2">
      <c r="B26" s="250"/>
    </row>
  </sheetData>
  <mergeCells count="11">
    <mergeCell ref="AE2:AE3"/>
    <mergeCell ref="A21:AE21"/>
    <mergeCell ref="A2:A3"/>
    <mergeCell ref="C2:C3"/>
    <mergeCell ref="D2:D3"/>
    <mergeCell ref="E2:E3"/>
    <mergeCell ref="F2:F3"/>
    <mergeCell ref="G2:L2"/>
    <mergeCell ref="M2:R2"/>
    <mergeCell ref="S2:X2"/>
    <mergeCell ref="Y2:AD2"/>
  </mergeCells>
  <phoneticPr fontId="10" type="noConversion"/>
  <conditionalFormatting sqref="A4:A20 D4:K20 M4:Q20 S4:W20 Y4:AC20">
    <cfRule type="cellIs" dxfId="59" priority="325" stopIfTrue="1" operator="equal">
      <formula>100</formula>
    </cfRule>
    <cfRule type="expression" dxfId="58" priority="326" stopIfTrue="1">
      <formula>AND(A4&gt;=50,A4&lt;&gt;"N/A",NOT(ISERROR(VALUE(A4))))</formula>
    </cfRule>
    <cfRule type="expression" dxfId="57" priority="327" stopIfTrue="1">
      <formula>NOT(OR(ISBLANK(A4),A4="N/A",ISERROR(VALUE(A4))))</formula>
    </cfRule>
  </conditionalFormatting>
  <conditionalFormatting sqref="E4:E20">
    <cfRule type="cellIs" dxfId="56" priority="55" stopIfTrue="1" operator="equal">
      <formula>100</formula>
    </cfRule>
    <cfRule type="expression" dxfId="55" priority="56" stopIfTrue="1">
      <formula>AND(E4&gt;=50,E4&lt;&gt;"N/A",NOT(ISERROR(VALUE(E4))))</formula>
    </cfRule>
    <cfRule type="expression" dxfId="54" priority="57" stopIfTrue="1">
      <formula>NOT(OR(ISBLANK(E4),E4="N/A",ISERROR(VALUE(E4))))</formula>
    </cfRule>
  </conditionalFormatting>
  <conditionalFormatting sqref="E4:E20">
    <cfRule type="cellIs" dxfId="53" priority="52" stopIfTrue="1" operator="equal">
      <formula>100</formula>
    </cfRule>
    <cfRule type="expression" dxfId="52" priority="53" stopIfTrue="1">
      <formula>AND(E4&gt;=50,E4&lt;&gt;"N/A",NOT(ISERROR(VALUE(E4))))</formula>
    </cfRule>
    <cfRule type="expression" dxfId="51" priority="54" stopIfTrue="1">
      <formula>NOT(OR(ISBLANK(E4),E4="N/A",ISERROR(VALUE(E4))))</formula>
    </cfRule>
  </conditionalFormatting>
  <conditionalFormatting sqref="A4:A20 D4:E20">
    <cfRule type="cellIs" dxfId="50" priority="49" stopIfTrue="1" operator="equal">
      <formula>100</formula>
    </cfRule>
    <cfRule type="expression" dxfId="49" priority="50" stopIfTrue="1">
      <formula>AND(A4&gt;=50,A4&lt;&gt;"N/A",NOT(ISERROR(VALUE(A4))))</formula>
    </cfRule>
    <cfRule type="expression" dxfId="48" priority="51" stopIfTrue="1">
      <formula>NOT(OR(ISBLANK(A4),A4="N/A",ISERROR(VALUE(A4))))</formula>
    </cfRule>
  </conditionalFormatting>
  <conditionalFormatting sqref="E4:E20">
    <cfRule type="cellIs" dxfId="47" priority="46" stopIfTrue="1" operator="equal">
      <formula>100</formula>
    </cfRule>
    <cfRule type="expression" dxfId="46" priority="47" stopIfTrue="1">
      <formula>AND(E4&gt;=50,E4&lt;&gt;"N/A",NOT(ISERROR(VALUE(E4))))</formula>
    </cfRule>
    <cfRule type="expression" dxfId="45" priority="48" stopIfTrue="1">
      <formula>NOT(OR(ISBLANK(E4),E4="N/A",ISERROR(VALUE(E4))))</formula>
    </cfRule>
  </conditionalFormatting>
  <conditionalFormatting sqref="E4:E20">
    <cfRule type="cellIs" dxfId="44" priority="43" stopIfTrue="1" operator="equal">
      <formula>100</formula>
    </cfRule>
    <cfRule type="expression" dxfId="43" priority="44" stopIfTrue="1">
      <formula>AND(E4&gt;=50,E4&lt;&gt;"N/A",NOT(ISERROR(VALUE(E4))))</formula>
    </cfRule>
    <cfRule type="expression" dxfId="42" priority="45" stopIfTrue="1">
      <formula>NOT(OR(ISBLANK(E4),E4="N/A",ISERROR(VALUE(E4))))</formula>
    </cfRule>
  </conditionalFormatting>
  <conditionalFormatting sqref="L11">
    <cfRule type="cellIs" dxfId="41" priority="40" stopIfTrue="1" operator="equal">
      <formula>100</formula>
    </cfRule>
    <cfRule type="expression" dxfId="40" priority="41" stopIfTrue="1">
      <formula>AND(L11&gt;=50,L11&lt;&gt;"N/A",NOT(ISERROR(VALUE(L11))))</formula>
    </cfRule>
    <cfRule type="expression" dxfId="39" priority="42" stopIfTrue="1">
      <formula>NOT(OR(ISBLANK(L11),L11="N/A",ISERROR(VALUE(L11))))</formula>
    </cfRule>
  </conditionalFormatting>
  <conditionalFormatting sqref="L16">
    <cfRule type="cellIs" dxfId="38" priority="37" stopIfTrue="1" operator="equal">
      <formula>100</formula>
    </cfRule>
    <cfRule type="expression" dxfId="37" priority="38" stopIfTrue="1">
      <formula>AND(L16&gt;=50,L16&lt;&gt;"N/A",NOT(ISERROR(VALUE(L16))))</formula>
    </cfRule>
    <cfRule type="expression" dxfId="36" priority="39" stopIfTrue="1">
      <formula>NOT(OR(ISBLANK(L16),L16="N/A",ISERROR(VALUE(L16))))</formula>
    </cfRule>
  </conditionalFormatting>
  <conditionalFormatting sqref="R16">
    <cfRule type="cellIs" dxfId="35" priority="34" stopIfTrue="1" operator="equal">
      <formula>100</formula>
    </cfRule>
    <cfRule type="expression" dxfId="34" priority="35" stopIfTrue="1">
      <formula>AND(R16&gt;=50,R16&lt;&gt;"N/A",NOT(ISERROR(VALUE(R16))))</formula>
    </cfRule>
    <cfRule type="expression" dxfId="33" priority="36" stopIfTrue="1">
      <formula>NOT(OR(ISBLANK(R16),R16="N/A",ISERROR(VALUE(R16))))</formula>
    </cfRule>
  </conditionalFormatting>
  <conditionalFormatting sqref="R11">
    <cfRule type="cellIs" dxfId="32" priority="31" stopIfTrue="1" operator="equal">
      <formula>100</formula>
    </cfRule>
    <cfRule type="expression" dxfId="31" priority="32" stopIfTrue="1">
      <formula>AND(R11&gt;=50,R11&lt;&gt;"N/A",NOT(ISERROR(VALUE(R11))))</formula>
    </cfRule>
    <cfRule type="expression" dxfId="30" priority="33" stopIfTrue="1">
      <formula>NOT(OR(ISBLANK(R11),R11="N/A",ISERROR(VALUE(R11))))</formula>
    </cfRule>
  </conditionalFormatting>
  <conditionalFormatting sqref="X11">
    <cfRule type="cellIs" dxfId="29" priority="28" stopIfTrue="1" operator="equal">
      <formula>100</formula>
    </cfRule>
    <cfRule type="expression" dxfId="28" priority="29" stopIfTrue="1">
      <formula>AND(X11&gt;=50,X11&lt;&gt;"N/A",NOT(ISERROR(VALUE(X11))))</formula>
    </cfRule>
    <cfRule type="expression" dxfId="27" priority="30" stopIfTrue="1">
      <formula>NOT(OR(ISBLANK(X11),X11="N/A",ISERROR(VALUE(X11))))</formula>
    </cfRule>
  </conditionalFormatting>
  <conditionalFormatting sqref="X16">
    <cfRule type="cellIs" dxfId="26" priority="25" stopIfTrue="1" operator="equal">
      <formula>100</formula>
    </cfRule>
    <cfRule type="expression" dxfId="25" priority="26" stopIfTrue="1">
      <formula>AND(X16&gt;=50,X16&lt;&gt;"N/A",NOT(ISERROR(VALUE(X16))))</formula>
    </cfRule>
    <cfRule type="expression" dxfId="24" priority="27" stopIfTrue="1">
      <formula>NOT(OR(ISBLANK(X16),X16="N/A",ISERROR(VALUE(X16))))</formula>
    </cfRule>
  </conditionalFormatting>
  <conditionalFormatting sqref="AD16">
    <cfRule type="cellIs" dxfId="23" priority="22" stopIfTrue="1" operator="equal">
      <formula>100</formula>
    </cfRule>
    <cfRule type="expression" dxfId="22" priority="23" stopIfTrue="1">
      <formula>AND(AD16&gt;=50,AD16&lt;&gt;"N/A",NOT(ISERROR(VALUE(AD16))))</formula>
    </cfRule>
    <cfRule type="expression" dxfId="21" priority="24" stopIfTrue="1">
      <formula>NOT(OR(ISBLANK(AD16),AD16="N/A",ISERROR(VALUE(AD16))))</formula>
    </cfRule>
  </conditionalFormatting>
  <conditionalFormatting sqref="AD11">
    <cfRule type="cellIs" dxfId="20" priority="19" stopIfTrue="1" operator="equal">
      <formula>100</formula>
    </cfRule>
    <cfRule type="expression" dxfId="19" priority="20" stopIfTrue="1">
      <formula>AND(AD11&gt;=50,AD11&lt;&gt;"N/A",NOT(ISERROR(VALUE(AD11))))</formula>
    </cfRule>
    <cfRule type="expression" dxfId="18" priority="21" stopIfTrue="1">
      <formula>NOT(OR(ISBLANK(AD11),AD11="N/A",ISERROR(VALUE(AD11))))</formula>
    </cfRule>
  </conditionalFormatting>
  <conditionalFormatting sqref="X11">
    <cfRule type="cellIs" dxfId="17" priority="16" stopIfTrue="1" operator="equal">
      <formula>100</formula>
    </cfRule>
    <cfRule type="expression" dxfId="16" priority="17" stopIfTrue="1">
      <formula>AND(X11&gt;=50,X11&lt;&gt;"N/A",NOT(ISERROR(VALUE(X11))))</formula>
    </cfRule>
    <cfRule type="expression" dxfId="15" priority="18" stopIfTrue="1">
      <formula>NOT(OR(ISBLANK(X11),X11="N/A",ISERROR(VALUE(X11))))</formula>
    </cfRule>
  </conditionalFormatting>
  <conditionalFormatting sqref="X16">
    <cfRule type="cellIs" dxfId="14" priority="13" stopIfTrue="1" operator="equal">
      <formula>100</formula>
    </cfRule>
    <cfRule type="expression" dxfId="13" priority="14" stopIfTrue="1">
      <formula>AND(X16&gt;=50,X16&lt;&gt;"N/A",NOT(ISERROR(VALUE(X16))))</formula>
    </cfRule>
    <cfRule type="expression" dxfId="12" priority="15" stopIfTrue="1">
      <formula>NOT(OR(ISBLANK(X16),X16="N/A",ISERROR(VALUE(X16))))</formula>
    </cfRule>
  </conditionalFormatting>
  <conditionalFormatting sqref="R11">
    <cfRule type="cellIs" dxfId="11" priority="10" stopIfTrue="1" operator="equal">
      <formula>100</formula>
    </cfRule>
    <cfRule type="expression" dxfId="10" priority="11" stopIfTrue="1">
      <formula>AND(R11&gt;=50,R11&lt;&gt;"N/A",NOT(ISERROR(VALUE(R11))))</formula>
    </cfRule>
    <cfRule type="expression" dxfId="9" priority="12" stopIfTrue="1">
      <formula>NOT(OR(ISBLANK(R11),R11="N/A",ISERROR(VALUE(R11))))</formula>
    </cfRule>
  </conditionalFormatting>
  <conditionalFormatting sqref="R16">
    <cfRule type="cellIs" dxfId="8" priority="7" stopIfTrue="1" operator="equal">
      <formula>100</formula>
    </cfRule>
    <cfRule type="expression" dxfId="7" priority="8" stopIfTrue="1">
      <formula>AND(R16&gt;=50,R16&lt;&gt;"N/A",NOT(ISERROR(VALUE(R16))))</formula>
    </cfRule>
    <cfRule type="expression" dxfId="6" priority="9" stopIfTrue="1">
      <formula>NOT(OR(ISBLANK(R16),R16="N/A",ISERROR(VALUE(R16))))</formula>
    </cfRule>
  </conditionalFormatting>
  <conditionalFormatting sqref="L11">
    <cfRule type="cellIs" dxfId="5" priority="4" stopIfTrue="1" operator="equal">
      <formula>100</formula>
    </cfRule>
    <cfRule type="expression" dxfId="4" priority="5" stopIfTrue="1">
      <formula>AND(L11&gt;=50,L11&lt;&gt;"N/A",NOT(ISERROR(VALUE(L11))))</formula>
    </cfRule>
    <cfRule type="expression" dxfId="3" priority="6" stopIfTrue="1">
      <formula>NOT(OR(ISBLANK(L11),L11="N/A",ISERROR(VALUE(L11))))</formula>
    </cfRule>
  </conditionalFormatting>
  <conditionalFormatting sqref="L16">
    <cfRule type="cellIs" dxfId="2" priority="1" stopIfTrue="1" operator="equal">
      <formula>100</formula>
    </cfRule>
    <cfRule type="expression" dxfId="1" priority="2" stopIfTrue="1">
      <formula>AND(L16&gt;=50,L16&lt;&gt;"N/A",NOT(ISERROR(VALUE(L16))))</formula>
    </cfRule>
    <cfRule type="expression" dxfId="0" priority="3" stopIfTrue="1">
      <formula>NOT(OR(ISBLANK(L16),L16="N/A",ISERROR(VALUE(L16))))</formula>
    </cfRule>
  </conditionalFormatting>
  <dataValidations count="5">
    <dataValidation type="list" allowBlank="1" showInputMessage="1" showErrorMessage="1" sqref="B24">
      <formula1>"All, T, D, M, C, O ,D&amp;M"</formula1>
    </dataValidation>
    <dataValidation type="list" allowBlank="1" showInputMessage="1" showErrorMessage="1" sqref="G4:K10 G12:K15 G17:K20 M4:Q10 M12:Q15 M17:Q20 S4:W10 S12:W15 S17:W20 Y4:AC10 Y12:AC15 Y17:AC20">
      <formula1>"100,50,0,N/A,&lt;&gt;"</formula1>
    </dataValidation>
    <dataValidation type="list" allowBlank="1" showInputMessage="1" showErrorMessage="1" sqref="B4:B20">
      <formula1>"All, D, T, O, M, C, D&amp;M, D&amp;C&amp;T, D&amp;C&amp;M, D&amp;M&amp;T"</formula1>
    </dataValidation>
    <dataValidation type="list" allowBlank="1" showInputMessage="1" showErrorMessage="1" sqref="B2:B3">
      <formula1>"QuestionType"</formula1>
    </dataValidation>
    <dataValidation type="custom" allowBlank="1" showErrorMessage="1" errorTitle="Input error!" error="You cannot enter value for this parent item!" sqref="G11:AD11 G16:AD16">
      <formula1>"Parent Item"</formula1>
    </dataValidation>
  </dataValidations>
  <pageMargins left="0.39370078740157483" right="0.19685039370078741" top="0.55118110236220474" bottom="0.47244094488188981" header="0.31496062992125984" footer="0.23622047244094491"/>
  <pageSetup paperSize="9" scale="40" orientation="landscape" r:id="rId1"/>
  <headerFooter>
    <oddFooter>&amp;L02e-CL/CL/HDCV/FSOFT v2/3&amp;CInternal use&amp;R&amp;P/&amp;N</oddFooter>
  </headerFooter>
  <colBreaks count="1" manualBreakCount="1">
    <brk id="31" max="1048575" man="1"/>
  </colBreaks>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20"/>
  <sheetViews>
    <sheetView tabSelected="1" topLeftCell="A10" workbookViewId="0">
      <selection activeCell="A3" sqref="A3:D20"/>
    </sheetView>
  </sheetViews>
  <sheetFormatPr defaultRowHeight="12.75" x14ac:dyDescent="0.2"/>
  <cols>
    <col min="1" max="1" width="10.7109375" style="385" customWidth="1"/>
    <col min="2" max="2" width="49.85546875" style="385" customWidth="1"/>
    <col min="3" max="3" width="45.28515625" style="385" customWidth="1"/>
    <col min="4" max="4" width="14.7109375" style="385" customWidth="1"/>
    <col min="5" max="16384" width="9.140625" style="385"/>
  </cols>
  <sheetData>
    <row r="1" spans="1:4" ht="20.25" x14ac:dyDescent="0.3">
      <c r="B1" s="411" t="s">
        <v>1089</v>
      </c>
    </row>
    <row r="3" spans="1:4" ht="25.5" x14ac:dyDescent="0.2">
      <c r="A3" s="406" t="s">
        <v>126</v>
      </c>
      <c r="B3" s="406" t="s">
        <v>1048</v>
      </c>
      <c r="C3" s="406" t="s">
        <v>1049</v>
      </c>
      <c r="D3" s="406" t="s">
        <v>1073</v>
      </c>
    </row>
    <row r="4" spans="1:4" ht="25.5" x14ac:dyDescent="0.2">
      <c r="A4" s="407" t="s">
        <v>1075</v>
      </c>
      <c r="B4" s="407" t="s">
        <v>1050</v>
      </c>
      <c r="C4" s="407" t="s">
        <v>1051</v>
      </c>
      <c r="D4" s="407" t="s">
        <v>1074</v>
      </c>
    </row>
    <row r="5" spans="1:4" ht="38.25" x14ac:dyDescent="0.2">
      <c r="A5" s="407" t="s">
        <v>1076</v>
      </c>
      <c r="B5" s="407" t="s">
        <v>1052</v>
      </c>
      <c r="C5" s="407" t="s">
        <v>1053</v>
      </c>
      <c r="D5" s="407" t="s">
        <v>1074</v>
      </c>
    </row>
    <row r="6" spans="1:4" ht="38.25" x14ac:dyDescent="0.2">
      <c r="A6" s="407" t="s">
        <v>1077</v>
      </c>
      <c r="B6" s="407" t="s">
        <v>1054</v>
      </c>
      <c r="C6" s="407" t="s">
        <v>1055</v>
      </c>
      <c r="D6" s="407" t="s">
        <v>1074</v>
      </c>
    </row>
    <row r="7" spans="1:4" ht="25.5" x14ac:dyDescent="0.2">
      <c r="A7" s="407" t="s">
        <v>1078</v>
      </c>
      <c r="B7" s="407" t="s">
        <v>1057</v>
      </c>
      <c r="C7" s="407" t="s">
        <v>1056</v>
      </c>
      <c r="D7" s="407" t="s">
        <v>1074</v>
      </c>
    </row>
    <row r="8" spans="1:4" ht="25.5" x14ac:dyDescent="0.2">
      <c r="A8" s="407" t="s">
        <v>1079</v>
      </c>
      <c r="B8" s="407" t="s">
        <v>1059</v>
      </c>
      <c r="C8" s="407" t="s">
        <v>1058</v>
      </c>
      <c r="D8" s="407" t="s">
        <v>1074</v>
      </c>
    </row>
    <row r="9" spans="1:4" ht="25.5" x14ac:dyDescent="0.2">
      <c r="A9" s="407" t="s">
        <v>1080</v>
      </c>
      <c r="B9" s="407" t="s">
        <v>1060</v>
      </c>
      <c r="C9" s="407" t="s">
        <v>1063</v>
      </c>
      <c r="D9" s="407" t="s">
        <v>1074</v>
      </c>
    </row>
    <row r="10" spans="1:4" ht="25.5" x14ac:dyDescent="0.2">
      <c r="A10" s="407" t="s">
        <v>1081</v>
      </c>
      <c r="B10" s="407" t="s">
        <v>1061</v>
      </c>
      <c r="C10" s="407" t="s">
        <v>1088</v>
      </c>
      <c r="D10" s="407" t="s">
        <v>1074</v>
      </c>
    </row>
    <row r="11" spans="1:4" ht="25.5" x14ac:dyDescent="0.2">
      <c r="A11" s="407" t="s">
        <v>1082</v>
      </c>
      <c r="B11" s="407" t="s">
        <v>1060</v>
      </c>
      <c r="C11" s="407" t="s">
        <v>1062</v>
      </c>
      <c r="D11" s="407" t="s">
        <v>1074</v>
      </c>
    </row>
    <row r="12" spans="1:4" ht="38.25" x14ac:dyDescent="0.2">
      <c r="A12" s="407" t="s">
        <v>1083</v>
      </c>
      <c r="B12" s="407" t="s">
        <v>1065</v>
      </c>
      <c r="C12" s="407" t="s">
        <v>1064</v>
      </c>
      <c r="D12" s="407" t="s">
        <v>1074</v>
      </c>
    </row>
    <row r="13" spans="1:4" ht="25.5" x14ac:dyDescent="0.2">
      <c r="A13" s="407" t="s">
        <v>1084</v>
      </c>
      <c r="B13" s="407" t="s">
        <v>1067</v>
      </c>
      <c r="C13" s="407" t="s">
        <v>1066</v>
      </c>
      <c r="D13" s="407" t="s">
        <v>1074</v>
      </c>
    </row>
    <row r="14" spans="1:4" ht="51" x14ac:dyDescent="0.2">
      <c r="A14" s="407" t="s">
        <v>1085</v>
      </c>
      <c r="B14" s="407" t="s">
        <v>1060</v>
      </c>
      <c r="C14" s="407" t="s">
        <v>1068</v>
      </c>
      <c r="D14" s="407" t="s">
        <v>1074</v>
      </c>
    </row>
    <row r="15" spans="1:4" ht="25.5" x14ac:dyDescent="0.2">
      <c r="A15" s="407" t="s">
        <v>1086</v>
      </c>
      <c r="B15" s="407" t="s">
        <v>1070</v>
      </c>
      <c r="C15" s="407" t="s">
        <v>1069</v>
      </c>
      <c r="D15" s="407" t="s">
        <v>1074</v>
      </c>
    </row>
    <row r="16" spans="1:4" ht="25.5" x14ac:dyDescent="0.2">
      <c r="A16" s="407" t="s">
        <v>1087</v>
      </c>
      <c r="B16" s="407" t="s">
        <v>1071</v>
      </c>
      <c r="C16" s="407" t="s">
        <v>1072</v>
      </c>
      <c r="D16" s="407" t="s">
        <v>1074</v>
      </c>
    </row>
    <row r="17" spans="1:4" ht="25.5" x14ac:dyDescent="0.2">
      <c r="A17" s="408" t="s">
        <v>1006</v>
      </c>
      <c r="B17" s="408" t="s">
        <v>1004</v>
      </c>
      <c r="C17" s="408" t="s">
        <v>1005</v>
      </c>
      <c r="D17" s="407" t="s">
        <v>1096</v>
      </c>
    </row>
    <row r="18" spans="1:4" ht="25.5" x14ac:dyDescent="0.2">
      <c r="A18" s="409" t="s">
        <v>1034</v>
      </c>
      <c r="B18" s="409" t="s">
        <v>1018</v>
      </c>
      <c r="C18" s="410" t="s">
        <v>1019</v>
      </c>
      <c r="D18" s="407" t="s">
        <v>1096</v>
      </c>
    </row>
    <row r="19" spans="1:4" ht="25.5" x14ac:dyDescent="0.2">
      <c r="A19" s="409" t="s">
        <v>1021</v>
      </c>
      <c r="B19" s="409" t="s">
        <v>1022</v>
      </c>
      <c r="C19" s="409" t="s">
        <v>1023</v>
      </c>
      <c r="D19" s="407" t="s">
        <v>1096</v>
      </c>
    </row>
    <row r="20" spans="1:4" ht="89.25" x14ac:dyDescent="0.2">
      <c r="A20" s="409" t="s">
        <v>1037</v>
      </c>
      <c r="B20" s="409" t="s">
        <v>1038</v>
      </c>
      <c r="C20" s="410" t="s">
        <v>1039</v>
      </c>
      <c r="D20" s="407" t="s">
        <v>1096</v>
      </c>
    </row>
  </sheetData>
  <phoneticPr fontId="53"/>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TemplateUrl xmlns="http://schemas.microsoft.com/sharepoint/v3" xsi:nil="true"/>
    <Number_x0020_Of_x0020_Viewer xmlns="cd6d2771-e08b-42a3-90f8-eca630337659">0</Number_x0020_Of_x0020_Viewer>
    <_SourceUrl xmlns="http://schemas.microsoft.com/sharepoint/v3" xsi:nil="true"/>
    <Priority xmlns="41A7A25E-88C5-415C-AB9A-358CCBEA8A85" xsi:nil="true"/>
    <xd_ProgID xmlns="http://schemas.microsoft.com/sharepoint/v3" xsi:nil="true"/>
    <Order xmlns="http://schemas.microsoft.com/sharepoint/v3" xsi:nil="true"/>
    <_SharedFileIndex xmlns="http://schemas.microsoft.com/sharepoint/v3" xsi:nil="true"/>
    <MetaInfo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EA2A741C5885C41AB9A358CCBEA8A85" ma:contentTypeVersion="4" ma:contentTypeDescription="Create a new document." ma:contentTypeScope="" ma:versionID="1696f36ed93db054fc8f4d62be39c1ae">
  <xsd:schema xmlns:xsd="http://www.w3.org/2001/XMLSchema" xmlns:p="http://schemas.microsoft.com/office/2006/metadata/properties" xmlns:ns1="http://schemas.microsoft.com/sharepoint/v3" xmlns:ns2="41A7A25E-88C5-415C-AB9A-358CCBEA8A85" xmlns:ns3="cd6d2771-e08b-42a3-90f8-eca630337659" targetNamespace="http://schemas.microsoft.com/office/2006/metadata/properties" ma:root="true" ma:fieldsID="bffc5b2d08ab4fb7daf98c77989d8342" ns1:_="" ns2:_="" ns3:_="">
    <xsd:import namespace="http://schemas.microsoft.com/sharepoint/v3"/>
    <xsd:import namespace="41A7A25E-88C5-415C-AB9A-358CCBEA8A85"/>
    <xsd:import namespace="cd6d2771-e08b-42a3-90f8-eca630337659"/>
    <xsd:element name="properties">
      <xsd:complexType>
        <xsd:sequence>
          <xsd:element name="documentManagement">
            <xsd:complexType>
              <xsd:all>
                <xsd:element ref="ns1:_ModerationComments" minOccurs="0"/>
                <xsd:element ref="ns1:File_x0020_Type" minOccurs="0"/>
                <xsd:element ref="ns1:HTML_x0020_File_x0020_Type" minOccurs="0"/>
                <xsd:element ref="ns1:_SourceUrl" minOccurs="0"/>
                <xsd:element ref="ns1:_SharedFileIndex" minOccurs="0"/>
                <xsd:element ref="ns2:Priority" minOccurs="0"/>
                <xsd:element ref="ns1:ContentTypeId" minOccurs="0"/>
                <xsd:element ref="ns1:TemplateUrl" minOccurs="0"/>
                <xsd:element ref="ns1:xd_ProgID" minOccurs="0"/>
                <xsd:element ref="ns1:xd_Signature" minOccurs="0"/>
                <xsd:element ref="ns3:Number_x0020_Of_x0020_Viewer" minOccurs="0"/>
                <xsd:element ref="ns1:ID" minOccurs="0"/>
                <xsd:element ref="ns1:Author" minOccurs="0"/>
                <xsd:element ref="ns1:Editor" minOccurs="0"/>
                <xsd:element ref="ns1:_HasCopyDestinations" minOccurs="0"/>
                <xsd:element ref="ns1:_CopySource" minOccurs="0"/>
                <xsd:element ref="ns1:_ModerationStatus" minOccurs="0"/>
                <xsd:element ref="ns1:FileRef" minOccurs="0"/>
                <xsd:element ref="ns1:FileDirRef" minOccurs="0"/>
                <xsd:element ref="ns1:Last_x0020_Modified" minOccurs="0"/>
                <xsd:element ref="ns1:Created_x0020_Date" minOccurs="0"/>
                <xsd:element ref="ns1:File_x0020_Size" minOccurs="0"/>
                <xsd:element ref="ns1:FSObjType" minOccurs="0"/>
                <xsd:element ref="ns1:CheckedOutUserId" minOccurs="0"/>
                <xsd:element ref="ns1:IsCheckedoutToLocal" minOccurs="0"/>
                <xsd:element ref="ns1:CheckoutUser" minOccurs="0"/>
                <xsd:element ref="ns1:UniqueId" minOccurs="0"/>
                <xsd:element ref="ns1:ProgId" minOccurs="0"/>
                <xsd:element ref="ns1:ScopeId" minOccurs="0"/>
                <xsd:element ref="ns1:VirusStatus" minOccurs="0"/>
                <xsd:element ref="ns1:CheckedOutTitle" minOccurs="0"/>
                <xsd:element ref="ns1:_CheckinComment" minOccurs="0"/>
                <xsd:element ref="ns1:MetaInfo" minOccurs="0"/>
                <xsd:element ref="ns1:_Level" minOccurs="0"/>
                <xsd:element ref="ns1:_IsCurrentVersion" minOccurs="0"/>
                <xsd:element ref="ns1:owshiddenversion" minOccurs="0"/>
                <xsd:element ref="ns1:_UIVersion" minOccurs="0"/>
                <xsd:element ref="ns1:_UIVersionString" minOccurs="0"/>
                <xsd:element ref="ns1:InstanceID" minOccurs="0"/>
                <xsd:element ref="ns1:Order" minOccurs="0"/>
                <xsd:element ref="ns1:GUID" minOccurs="0"/>
                <xsd:element ref="ns1:WorkflowVersion" minOccurs="0"/>
                <xsd:element ref="ns1:WorkflowInstanceID" minOccurs="0"/>
                <xsd:element ref="ns1:ParentVersionString" minOccurs="0"/>
                <xsd:element ref="ns1:ParentLeafName" minOccurs="0"/>
              </xsd:all>
            </xsd:complexType>
          </xsd:element>
        </xsd:sequence>
      </xsd:complexType>
    </xsd:element>
  </xsd:schema>
  <xsd:schema xmlns:xsd="http://www.w3.org/2001/XMLSchema" xmlns:dms="http://schemas.microsoft.com/office/2006/documentManagement/types" targetNamespace="http://schemas.microsoft.com/sharepoint/v3" elementFormDefault="qualified">
    <xsd:import namespace="http://schemas.microsoft.com/office/2006/documentManagement/types"/>
    <xsd:element name="_ModerationComments" ma:index="0" nillable="true" ma:displayName="Approver Comments" ma:hidden="true" ma:internalName="_ModerationComments" ma:readOnly="true">
      <xsd:simpleType>
        <xsd:restriction base="dms:Note"/>
      </xsd:simpleType>
    </xsd:element>
    <xsd:element name="File_x0020_Type" ma:index="4" nillable="true" ma:displayName="File Type" ma:hidden="true" ma:internalName="File_x0020_Type" ma:readOnly="true">
      <xsd:simpleType>
        <xsd:restriction base="dms:Text"/>
      </xsd:simpleType>
    </xsd:element>
    <xsd:element name="HTML_x0020_File_x0020_Type" ma:index="5" nillable="true" ma:displayName="HTML File Type" ma:hidden="true" ma:internalName="HTML_x0020_File_x0020_Type" ma:readOnly="true">
      <xsd:simpleType>
        <xsd:restriction base="dms:Text"/>
      </xsd:simpleType>
    </xsd:element>
    <xsd:element name="_SourceUrl" ma:index="6" nillable="true" ma:displayName="Source Url" ma:hidden="true" ma:internalName="_SourceUrl">
      <xsd:simpleType>
        <xsd:restriction base="dms:Text"/>
      </xsd:simpleType>
    </xsd:element>
    <xsd:element name="_SharedFileIndex" ma:index="7" nillable="true" ma:displayName="Shared File Index" ma:hidden="true" ma:internalName="_SharedFileIndex">
      <xsd:simpleType>
        <xsd:restriction base="dms:Text"/>
      </xsd:simpleType>
    </xsd:element>
    <xsd:element name="ContentTypeId" ma:index="10" nillable="true" ma:displayName="Content Type ID" ma:hidden="true" ma:internalName="ContentTypeId" ma:readOnly="true">
      <xsd:simpleType>
        <xsd:restriction base="dms:Unknown"/>
      </xsd:simpleType>
    </xsd:element>
    <xsd:element name="TemplateUrl" ma:index="11" nillable="true" ma:displayName="Template Link" ma:hidden="true" ma:internalName="TemplateUrl">
      <xsd:simpleType>
        <xsd:restriction base="dms:Text"/>
      </xsd:simpleType>
    </xsd:element>
    <xsd:element name="xd_ProgID" ma:index="12" nillable="true" ma:displayName="Html File Link" ma:hidden="true" ma:internalName="xd_ProgID">
      <xsd:simpleType>
        <xsd:restriction base="dms:Text"/>
      </xsd:simpleType>
    </xsd:element>
    <xsd:element name="xd_Signature" ma:index="13" nillable="true" ma:displayName="Is Signed" ma:hidden="true" ma:internalName="xd_Signature" ma:readOnly="true">
      <xsd:simpleType>
        <xsd:restriction base="dms:Boolean"/>
      </xsd:simpleType>
    </xsd:element>
    <xsd:element name="ID" ma:index="15" nillable="true" ma:displayName="ID" ma:internalName="ID" ma:readOnly="true">
      <xsd:simpleType>
        <xsd:restriction base="dms:Unknown"/>
      </xsd:simpleType>
    </xsd:element>
    <xsd:element name="Author" ma:index="18" nillable="true" ma:displayName="Created By" ma:list="UserInfo" ma:internalName="Author"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ditor" ma:index="20" nillable="true" ma:displayName="Modified By" ma:list="UserInfo" ma:internalName="Editor"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_HasCopyDestinations" ma:index="21" nillable="true" ma:displayName="Has Copy Destinations" ma:hidden="true" ma:internalName="_HasCopyDestinations" ma:readOnly="true">
      <xsd:simpleType>
        <xsd:restriction base="dms:Boolean"/>
      </xsd:simpleType>
    </xsd:element>
    <xsd:element name="_CopySource" ma:index="22" nillable="true" ma:displayName="Copy Source" ma:description="" ma:internalName="_CopySource" ma:readOnly="true">
      <xsd:simpleType>
        <xsd:restriction base="dms:Text"/>
      </xsd:simpleType>
    </xsd:element>
    <xsd:element name="_ModerationStatus" ma:index="23" nillable="true" ma:displayName="Approval Status" ma:default="0" ma:hidden="true" ma:internalName="_ModerationStatus" ma:readOnly="true">
      <xsd:simpleType>
        <xsd:restriction base="dms:Unknown"/>
      </xsd:simpleType>
    </xsd:element>
    <xsd:element name="FileRef" ma:index="24" nillable="true" ma:displayName="URL Path" ma:hidden="true" ma:list="Docs" ma:internalName="FileRef" ma:readOnly="true" ma:showField="FullUrl">
      <xsd:simpleType>
        <xsd:restriction base="dms:Lookup"/>
      </xsd:simpleType>
    </xsd:element>
    <xsd:element name="FileDirRef" ma:index="25" nillable="true" ma:displayName="Path" ma:hidden="true" ma:list="Docs" ma:internalName="FileDirRef" ma:readOnly="true" ma:showField="DirName">
      <xsd:simpleType>
        <xsd:restriction base="dms:Lookup"/>
      </xsd:simpleType>
    </xsd:element>
    <xsd:element name="Last_x0020_Modified" ma:index="26" nillable="true" ma:displayName="Modified" ma:format="TRUE" ma:hidden="true" ma:list="Docs" ma:internalName="Last_x0020_Modified" ma:readOnly="true" ma:showField="TimeLastModified">
      <xsd:simpleType>
        <xsd:restriction base="dms:Lookup"/>
      </xsd:simpleType>
    </xsd:element>
    <xsd:element name="Created_x0020_Date" ma:index="27" nillable="true" ma:displayName="Created" ma:format="TRUE" ma:hidden="true" ma:list="Docs" ma:internalName="Created_x0020_Date" ma:readOnly="true" ma:showField="TimeCreated">
      <xsd:simpleType>
        <xsd:restriction base="dms:Lookup"/>
      </xsd:simpleType>
    </xsd:element>
    <xsd:element name="File_x0020_Size" ma:index="28" nillable="true" ma:displayName="File Size" ma:format="TRUE" ma:hidden="true" ma:list="Docs" ma:internalName="File_x0020_Size" ma:readOnly="true" ma:showField="SizeInKB">
      <xsd:simpleType>
        <xsd:restriction base="dms:Lookup"/>
      </xsd:simpleType>
    </xsd:element>
    <xsd:element name="FSObjType" ma:index="29" nillable="true" ma:displayName="Item Type" ma:hidden="true" ma:list="Docs" ma:internalName="FSObjType" ma:readOnly="true" ma:showField="FSType">
      <xsd:simpleType>
        <xsd:restriction base="dms:Lookup"/>
      </xsd:simpleType>
    </xsd:element>
    <xsd:element name="CheckedOutUserId" ma:index="31" nillable="true" ma:displayName="ID of the User who has the item Checked Out" ma:hidden="true" ma:list="Docs" ma:internalName="CheckedOutUserId" ma:readOnly="true" ma:showField="CheckoutUserId">
      <xsd:simpleType>
        <xsd:restriction base="dms:Lookup"/>
      </xsd:simpleType>
    </xsd:element>
    <xsd:element name="IsCheckedoutToLocal" ma:index="32" nillable="true" ma:displayName="Is Checked out to local" ma:hidden="true" ma:list="Docs" ma:internalName="IsCheckedoutToLocal" ma:readOnly="true" ma:showField="IsCheckoutToLocal">
      <xsd:simpleType>
        <xsd:restriction base="dms:Lookup"/>
      </xsd:simpleType>
    </xsd:element>
    <xsd:element name="CheckoutUser" ma:index="33" nillable="true" ma:displayName="Checked Out To" ma:list="UserInfo" ma:internalName="CheckoutUser" ma:readOnly="tru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UniqueId" ma:index="34" nillable="true" ma:displayName="Unique Id" ma:hidden="true" ma:list="Docs" ma:internalName="UniqueId" ma:readOnly="true" ma:showField="UniqueId">
      <xsd:simpleType>
        <xsd:restriction base="dms:Lookup"/>
      </xsd:simpleType>
    </xsd:element>
    <xsd:element name="ProgId" ma:index="35" nillable="true" ma:displayName="ProgId" ma:hidden="true" ma:list="Docs" ma:internalName="ProgId" ma:readOnly="true" ma:showField="ProgId">
      <xsd:simpleType>
        <xsd:restriction base="dms:Lookup"/>
      </xsd:simpleType>
    </xsd:element>
    <xsd:element name="ScopeId" ma:index="36" nillable="true" ma:displayName="ScopeId" ma:hidden="true" ma:list="Docs" ma:internalName="ScopeId" ma:readOnly="true" ma:showField="ScopeId">
      <xsd:simpleType>
        <xsd:restriction base="dms:Lookup"/>
      </xsd:simpleType>
    </xsd:element>
    <xsd:element name="VirusStatus" ma:index="37" nillable="true" ma:displayName="Virus Status" ma:format="TRUE" ma:hidden="true" ma:list="Docs" ma:internalName="VirusStatus" ma:readOnly="true" ma:showField="Size">
      <xsd:simpleType>
        <xsd:restriction base="dms:Lookup"/>
      </xsd:simpleType>
    </xsd:element>
    <xsd:element name="CheckedOutTitle" ma:index="38" nillable="true" ma:displayName="Checked Out To" ma:format="TRUE" ma:hidden="true" ma:list="Docs" ma:internalName="CheckedOutTitle" ma:readOnly="true" ma:showField="CheckedOutTitle">
      <xsd:simpleType>
        <xsd:restriction base="dms:Lookup"/>
      </xsd:simpleType>
    </xsd:element>
    <xsd:element name="_CheckinComment" ma:index="39" nillable="true" ma:displayName="Check In Comment" ma:format="TRUE" ma:list="Docs" ma:internalName="_CheckinComment" ma:readOnly="true" ma:showField="CheckinComment">
      <xsd:simpleType>
        <xsd:restriction base="dms:Lookup"/>
      </xsd:simpleType>
    </xsd:element>
    <xsd:element name="MetaInfo" ma:index="50" nillable="true" ma:displayName="Property Bag" ma:hidden="true" ma:list="Docs" ma:internalName="MetaInfo" ma:showField="MetaInfo">
      <xsd:simpleType>
        <xsd:restriction base="dms:Lookup"/>
      </xsd:simpleType>
    </xsd:element>
    <xsd:element name="_Level" ma:index="51" nillable="true" ma:displayName="Level" ma:hidden="true" ma:internalName="_Level" ma:readOnly="true">
      <xsd:simpleType>
        <xsd:restriction base="dms:Unknown"/>
      </xsd:simpleType>
    </xsd:element>
    <xsd:element name="_IsCurrentVersion" ma:index="52" nillable="true" ma:displayName="Is Current Version" ma:hidden="true" ma:internalName="_IsCurrentVersion" ma:readOnly="true">
      <xsd:simpleType>
        <xsd:restriction base="dms:Boolean"/>
      </xsd:simpleType>
    </xsd:element>
    <xsd:element name="owshiddenversion" ma:index="56" nillable="true" ma:displayName="owshiddenversion" ma:hidden="true" ma:internalName="owshiddenversion" ma:readOnly="true">
      <xsd:simpleType>
        <xsd:restriction base="dms:Unknown"/>
      </xsd:simpleType>
    </xsd:element>
    <xsd:element name="_UIVersion" ma:index="57" nillable="true" ma:displayName="UI Version" ma:hidden="true" ma:internalName="_UIVersion" ma:readOnly="true">
      <xsd:simpleType>
        <xsd:restriction base="dms:Unknown"/>
      </xsd:simpleType>
    </xsd:element>
    <xsd:element name="_UIVersionString" ma:index="58" nillable="true" ma:displayName="Version" ma:internalName="_UIVersionString" ma:readOnly="true">
      <xsd:simpleType>
        <xsd:restriction base="dms:Text"/>
      </xsd:simpleType>
    </xsd:element>
    <xsd:element name="InstanceID" ma:index="59" nillable="true" ma:displayName="Instance ID" ma:hidden="true" ma:internalName="InstanceID" ma:readOnly="true">
      <xsd:simpleType>
        <xsd:restriction base="dms:Unknown"/>
      </xsd:simpleType>
    </xsd:element>
    <xsd:element name="Order" ma:index="60" nillable="true" ma:displayName="Order" ma:hidden="true" ma:internalName="Order">
      <xsd:simpleType>
        <xsd:restriction base="dms:Number"/>
      </xsd:simpleType>
    </xsd:element>
    <xsd:element name="GUID" ma:index="61" nillable="true" ma:displayName="GUID" ma:hidden="true" ma:internalName="GUID" ma:readOnly="true">
      <xsd:simpleType>
        <xsd:restriction base="dms:Unknown"/>
      </xsd:simpleType>
    </xsd:element>
    <xsd:element name="WorkflowVersion" ma:index="62" nillable="true" ma:displayName="Workflow Version" ma:hidden="true" ma:internalName="WorkflowVersion" ma:readOnly="true">
      <xsd:simpleType>
        <xsd:restriction base="dms:Unknown"/>
      </xsd:simpleType>
    </xsd:element>
    <xsd:element name="WorkflowInstanceID" ma:index="63" nillable="true" ma:displayName="Workflow Instance ID" ma:hidden="true" ma:internalName="WorkflowInstanceID" ma:readOnly="true">
      <xsd:simpleType>
        <xsd:restriction base="dms:Unknown"/>
      </xsd:simpleType>
    </xsd:element>
    <xsd:element name="ParentVersionString" ma:index="64" nillable="true" ma:displayName="Source Version (Converted Document)" ma:hidden="true" ma:list="Docs" ma:internalName="ParentVersionString" ma:readOnly="true" ma:showField="ParentVersionString">
      <xsd:simpleType>
        <xsd:restriction base="dms:Lookup"/>
      </xsd:simpleType>
    </xsd:element>
    <xsd:element name="ParentLeafName" ma:index="65" nillable="true" ma:displayName="Source Name (Converted Document)" ma:hidden="true" ma:list="Docs" ma:internalName="ParentLeafName" ma:readOnly="true" ma:showField="ParentLeafName">
      <xsd:simpleType>
        <xsd:restriction base="dms:Lookup"/>
      </xsd:simpleType>
    </xsd:element>
  </xsd:schema>
  <xsd:schema xmlns:xsd="http://www.w3.org/2001/XMLSchema" xmlns:dms="http://schemas.microsoft.com/office/2006/documentManagement/types" targetNamespace="41A7A25E-88C5-415C-AB9A-358CCBEA8A85" elementFormDefault="qualified">
    <xsd:import namespace="http://schemas.microsoft.com/office/2006/documentManagement/types"/>
    <xsd:element name="Priority" ma:index="9" nillable="true" ma:displayName="Priority" ma:internalName="Priority">
      <xsd:simpleType>
        <xsd:restriction base="dms:Number"/>
      </xsd:simpleType>
    </xsd:element>
  </xsd:schema>
  <xsd:schema xmlns:xsd="http://www.w3.org/2001/XMLSchema" xmlns:dms="http://schemas.microsoft.com/office/2006/documentManagement/types" targetNamespace="cd6d2771-e08b-42a3-90f8-eca630337659" elementFormDefault="qualified">
    <xsd:import namespace="http://schemas.microsoft.com/office/2006/documentManagement/types"/>
    <xsd:element name="Number_x0020_Of_x0020_Viewer" ma:index="14" nillable="true" ma:displayName="Number Of Viewer" ma:default="0" ma:internalName="Number_x0020_Of_x0020_Viewer">
      <xsd:simpleType>
        <xsd:restriction base="dms:Number"/>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6" ma:displayName="Content Type" ma:readOnly="true"/>
        <xsd:element ref="dc:title" minOccurs="0" maxOccurs="1" ma:index="8"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488BDE7-B5A6-4C85-AB9B-AC6A4A22D10E}">
  <ds:schemaRefs>
    <ds:schemaRef ds:uri="http://schemas.microsoft.com/sharepoint/v3/contenttype/forms"/>
  </ds:schemaRefs>
</ds:datastoreItem>
</file>

<file path=customXml/itemProps2.xml><?xml version="1.0" encoding="utf-8"?>
<ds:datastoreItem xmlns:ds="http://schemas.openxmlformats.org/officeDocument/2006/customXml" ds:itemID="{C5258B95-654B-4FDA-8577-812BB1E0C9B5}">
  <ds:schemaRefs>
    <ds:schemaRef ds:uri="http://purl.org/dc/elements/1.1/"/>
    <ds:schemaRef ds:uri="http://schemas.openxmlformats.org/package/2006/metadata/core-properties"/>
    <ds:schemaRef ds:uri="http://purl.org/dc/dcmitype/"/>
    <ds:schemaRef ds:uri="http://purl.org/dc/terms/"/>
    <ds:schemaRef ds:uri="http://schemas.microsoft.com/office/2006/documentManagement/types"/>
    <ds:schemaRef ds:uri="http://schemas.microsoft.com/sharepoint/v3"/>
    <ds:schemaRef ds:uri="http://schemas.microsoft.com/office/2006/metadata/properties"/>
    <ds:schemaRef ds:uri="cd6d2771-e08b-42a3-90f8-eca630337659"/>
    <ds:schemaRef ds:uri="41A7A25E-88C5-415C-AB9A-358CCBEA8A85"/>
    <ds:schemaRef ds:uri="http://www.w3.org/XML/1998/namespace"/>
  </ds:schemaRefs>
</ds:datastoreItem>
</file>

<file path=customXml/itemProps3.xml><?xml version="1.0" encoding="utf-8"?>
<ds:datastoreItem xmlns:ds="http://schemas.openxmlformats.org/officeDocument/2006/customXml" ds:itemID="{86746B99-430F-42F2-8FB0-F5552FE9FA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1A7A25E-88C5-415C-AB9A-358CCBEA8A85"/>
    <ds:schemaRef ds:uri="cd6d2771-e08b-42a3-90f8-eca630337659"/>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32</vt:i4>
      </vt:variant>
    </vt:vector>
  </HeadingPairs>
  <TitlesOfParts>
    <vt:vector size="41" baseType="lpstr">
      <vt:lpstr>Introduction</vt:lpstr>
      <vt:lpstr>Project Summary</vt:lpstr>
      <vt:lpstr>Planning</vt:lpstr>
      <vt:lpstr>Weekly</vt:lpstr>
      <vt:lpstr>Monthly</vt:lpstr>
      <vt:lpstr>Baseline</vt:lpstr>
      <vt:lpstr>Closing</vt:lpstr>
      <vt:lpstr>Daily_Task Mgnt</vt:lpstr>
      <vt:lpstr>Tailoring&amp;Deviation</vt:lpstr>
      <vt:lpstr>B_CAT</vt:lpstr>
      <vt:lpstr>B_CKDATA</vt:lpstr>
      <vt:lpstr>B_CKDATE</vt:lpstr>
      <vt:lpstr>B_QTYPE</vt:lpstr>
      <vt:lpstr>B_SUBCAT</vt:lpstr>
      <vt:lpstr>C_CAT</vt:lpstr>
      <vt:lpstr>C_CKDATA</vt:lpstr>
      <vt:lpstr>C_CKDATE</vt:lpstr>
      <vt:lpstr>C_QTYPE</vt:lpstr>
      <vt:lpstr>C_SUBCAT</vt:lpstr>
      <vt:lpstr>D_CKDATA</vt:lpstr>
      <vt:lpstr>D_CKDATE</vt:lpstr>
      <vt:lpstr>D_CKID</vt:lpstr>
      <vt:lpstr>M_CAT</vt:lpstr>
      <vt:lpstr>M_CKDATA</vt:lpstr>
      <vt:lpstr>M_CKDATE</vt:lpstr>
      <vt:lpstr>M_QTYPE</vt:lpstr>
      <vt:lpstr>M_SUBCAT</vt:lpstr>
      <vt:lpstr>MacroFilter_ColumnName</vt:lpstr>
      <vt:lpstr>MacroFilter_Condition</vt:lpstr>
      <vt:lpstr>P_CAT</vt:lpstr>
      <vt:lpstr>P_CKDATA</vt:lpstr>
      <vt:lpstr>P_CKDATE</vt:lpstr>
      <vt:lpstr>P_QTYPE</vt:lpstr>
      <vt:lpstr>P_SUBCAT</vt:lpstr>
      <vt:lpstr>PRJ_CAT_FIRST</vt:lpstr>
      <vt:lpstr>PRJ_START</vt:lpstr>
      <vt:lpstr>W_CAT</vt:lpstr>
      <vt:lpstr>W_CKDATA</vt:lpstr>
      <vt:lpstr>W_CKDATE</vt:lpstr>
      <vt:lpstr>W_QTYPE</vt:lpstr>
      <vt:lpstr>W_SUBCAT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Process Compliance Review</dc:title>
  <dc:subject>2/3</dc:subject>
  <dc:creator>Le Le Huyen</dc:creator>
  <dc:description>'- Convert day to working day:
- 1 day - &gt; 1 working day; - 2 days - &gt; 2 working days; 
- 3 days - &gt; 3 working days;  - 4 days - &gt; 4 working days;  
- 5 days - &gt; 5 working days;  - 7 days - &gt; 5 working days;  
- 10 days - &gt; 7 working days;  - 15 days - &gt; 10 working days;
 - 20 days - &gt; 15 working days;  - 30 days - &gt; 22 working days
- Trong Step 5: Follow up =&gt; Add more "FI2.0"</dc:description>
  <cp:lastModifiedBy>Trinh Thi Huyen (FSU11.QA)</cp:lastModifiedBy>
  <cp:lastPrinted>2013-08-30T10:29:54Z</cp:lastPrinted>
  <dcterms:created xsi:type="dcterms:W3CDTF">2005-12-19T05:29:52Z</dcterms:created>
  <dcterms:modified xsi:type="dcterms:W3CDTF">2016-04-07T09:35:51Z</dcterms:modified>
  <cp:category>Checklist</cp:category>
  <cp:contentStatus>1/6/2015</cp:contentStatus>
</cp:coreProperties>
</file>